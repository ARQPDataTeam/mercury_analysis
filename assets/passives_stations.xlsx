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iranskib\Documents\Python Scripts\oesg_mercury_analysis\assets\"/>
    </mc:Choice>
  </mc:AlternateContent>
  <xr:revisionPtr revIDLastSave="0" documentId="13_ncr:1_{D3C824C1-B87A-4E3A-8A9A-BAA7033E6DCD}" xr6:coauthVersionLast="47" xr6:coauthVersionMax="47" xr10:uidLastSave="{00000000-0000-0000-0000-000000000000}"/>
  <bookViews>
    <workbookView xWindow="2856" yWindow="852" windowWidth="19872" windowHeight="10704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E39" i="1"/>
  <c r="D40" i="1"/>
  <c r="D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MacSween,Katrina (ECCC)</author>
  </authors>
  <commentList>
    <comment ref="F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MacSween,Katrina (ECCC):</t>
        </r>
        <r>
          <rPr>
            <sz val="9"/>
            <color indexed="81"/>
            <rFont val="Tahoma"/>
            <family val="2"/>
          </rPr>
          <t xml:space="preserve">
only 13km if its Shuwaikh
</t>
        </r>
      </text>
    </comment>
    <comment ref="B19" authorId="0" shapeId="0" xr:uid="{38A2F8C9-09FF-413F-86FD-D1A8B8D24DD1}">
      <text>
        <r>
          <rPr>
            <b/>
            <sz val="9"/>
            <color indexed="81"/>
            <rFont val="Tahoma"/>
            <family val="2"/>
          </rPr>
          <t>MacSween,Katrina (ECCC):</t>
        </r>
        <r>
          <rPr>
            <sz val="9"/>
            <color indexed="81"/>
            <rFont val="Tahoma"/>
            <family val="2"/>
          </rPr>
          <t xml:space="preserve">
this needs to be updated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MacSween,Katrina (ECCC)</author>
  </authors>
  <commentList>
    <comment ref="B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MacSween,Katrina (ECCC):</t>
        </r>
        <r>
          <rPr>
            <sz val="9"/>
            <color indexed="81"/>
            <rFont val="Tahoma"/>
            <family val="2"/>
          </rPr>
          <t xml:space="preserve">
data is ver sparatic need to go through
</t>
        </r>
      </text>
    </comment>
    <comment ref="B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MacSween,Katrina (ECCC):</t>
        </r>
        <r>
          <rPr>
            <sz val="9"/>
            <color indexed="81"/>
            <rFont val="Tahoma"/>
            <family val="2"/>
          </rPr>
          <t xml:space="preserve">
different to what we have in the dataset</t>
        </r>
      </text>
    </comment>
    <comment ref="L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MacSween,Katrina (ECCC):</t>
        </r>
        <r>
          <rPr>
            <sz val="9"/>
            <color indexed="81"/>
            <rFont val="Tahoma"/>
            <family val="2"/>
          </rPr>
          <t xml:space="preserve">
only 13km if its Shuwaikh
</t>
        </r>
      </text>
    </comment>
    <comment ref="B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MacSween,Katrina (ECCC):</t>
        </r>
        <r>
          <rPr>
            <sz val="9"/>
            <color indexed="81"/>
            <rFont val="Tahoma"/>
            <family val="2"/>
          </rPr>
          <t xml:space="preserve">
different to merpas dataset
also part of APMMN</t>
        </r>
      </text>
    </comment>
    <comment ref="B1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MacSween,Katrina (ECCC):</t>
        </r>
        <r>
          <rPr>
            <sz val="9"/>
            <color indexed="81"/>
            <rFont val="Tahoma"/>
            <family val="2"/>
          </rPr>
          <t xml:space="preserve">
re-search can probs do better
</t>
        </r>
      </text>
    </comment>
    <comment ref="A1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MacSween,Katrina (ECCC):</t>
        </r>
        <r>
          <rPr>
            <sz val="9"/>
            <color indexed="81"/>
            <rFont val="Tahoma"/>
            <family val="2"/>
          </rPr>
          <t xml:space="preserve">
large alt difference
</t>
        </r>
      </text>
    </comment>
    <comment ref="B17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MacSween,Katrina (ECCC):</t>
        </r>
        <r>
          <rPr>
            <sz val="9"/>
            <color indexed="81"/>
            <rFont val="Tahoma"/>
            <family val="2"/>
          </rPr>
          <t xml:space="preserve">
can probs get data straight from site - long terms Hg monitoring
</t>
        </r>
      </text>
    </comment>
    <comment ref="B19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MacSween,Katrina (ECCC):</t>
        </r>
        <r>
          <rPr>
            <sz val="9"/>
            <color indexed="81"/>
            <rFont val="Tahoma"/>
            <family val="2"/>
          </rPr>
          <t xml:space="preserve">
Part of NPC
</t>
        </r>
      </text>
    </comment>
    <comment ref="B2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MacSween,Katrina (ECCC):</t>
        </r>
        <r>
          <rPr>
            <sz val="9"/>
            <color indexed="81"/>
            <rFont val="Tahoma"/>
            <family val="2"/>
          </rPr>
          <t xml:space="preserve">
can get data from the actual obs station
NEEDS TO BE UPDATED</t>
        </r>
      </text>
    </comment>
    <comment ref="B22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MacSween,Katrina (ECCC):</t>
        </r>
        <r>
          <rPr>
            <sz val="9"/>
            <color indexed="81"/>
            <rFont val="Tahoma"/>
            <family val="2"/>
          </rPr>
          <t xml:space="preserve">
large alt difference
</t>
        </r>
      </text>
    </comment>
    <comment ref="E32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MacSween,Katrina (ECCC):</t>
        </r>
        <r>
          <rPr>
            <sz val="9"/>
            <color indexed="81"/>
            <rFont val="Tahoma"/>
            <family val="2"/>
          </rPr>
          <t xml:space="preserve">
I don't know where these coordinates are for
lands in libia </t>
        </r>
      </text>
    </comment>
    <comment ref="K34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MacSween,Katrina (ECCC):</t>
        </r>
        <r>
          <rPr>
            <sz val="9"/>
            <color indexed="81"/>
            <rFont val="Tahoma"/>
            <family val="2"/>
          </rPr>
          <t xml:space="preserve">
same met station as the GAP met sites 
not sure if they are different PAS sites
</t>
        </r>
      </text>
    </comment>
  </commentList>
</comments>
</file>

<file path=xl/sharedStrings.xml><?xml version="1.0" encoding="utf-8"?>
<sst xmlns="http://schemas.openxmlformats.org/spreadsheetml/2006/main" count="1036" uniqueCount="394">
  <si>
    <t>DEAAR UA, SF</t>
  </si>
  <si>
    <t>AF04</t>
  </si>
  <si>
    <t>De Aar</t>
  </si>
  <si>
    <t>South Africa</t>
  </si>
  <si>
    <t>AF07</t>
  </si>
  <si>
    <t>Nairobi</t>
  </si>
  <si>
    <t>Kenya</t>
  </si>
  <si>
    <t>AF10</t>
  </si>
  <si>
    <t>Lagos</t>
  </si>
  <si>
    <t>Nigerea</t>
  </si>
  <si>
    <t>AF11</t>
  </si>
  <si>
    <t>Mindelo</t>
  </si>
  <si>
    <t>Cape Verde</t>
  </si>
  <si>
    <t>AF12</t>
  </si>
  <si>
    <t>Cape Point</t>
  </si>
  <si>
    <t>AS21</t>
  </si>
  <si>
    <t>Shuwaikh</t>
  </si>
  <si>
    <t>Kuwait</t>
  </si>
  <si>
    <t>AS27</t>
  </si>
  <si>
    <t>Peradeniya</t>
  </si>
  <si>
    <t>Sri Lanka</t>
  </si>
  <si>
    <t>AS28</t>
  </si>
  <si>
    <t>Hanimaadhoo</t>
  </si>
  <si>
    <t>Maldives</t>
  </si>
  <si>
    <t>EE03</t>
  </si>
  <si>
    <t>Kosetice</t>
  </si>
  <si>
    <t>Czech Republic</t>
  </si>
  <si>
    <t>GR03</t>
  </si>
  <si>
    <t>Heredia</t>
  </si>
  <si>
    <t>Costa Rica</t>
  </si>
  <si>
    <t>GR04</t>
  </si>
  <si>
    <t>Arauca</t>
  </si>
  <si>
    <t>Columbia</t>
  </si>
  <si>
    <t>GR12</t>
  </si>
  <si>
    <t>Ragged Point, St Philip</t>
  </si>
  <si>
    <t>Barbados</t>
  </si>
  <si>
    <t>GR13</t>
  </si>
  <si>
    <t>Santa Cruz Island</t>
  </si>
  <si>
    <t>Ecuador</t>
  </si>
  <si>
    <t>GR16</t>
  </si>
  <si>
    <t>Valley of the Yaqui in Sonora</t>
  </si>
  <si>
    <t>Mexico</t>
  </si>
  <si>
    <t>GR17</t>
  </si>
  <si>
    <t>Celestun in Yucatan</t>
  </si>
  <si>
    <t>WE12</t>
  </si>
  <si>
    <t>Tudor Hill</t>
  </si>
  <si>
    <t>Bermuda</t>
  </si>
  <si>
    <t>WE13</t>
  </si>
  <si>
    <t>Ny-Alesund</t>
  </si>
  <si>
    <t>Norway</t>
  </si>
  <si>
    <t>WE14</t>
  </si>
  <si>
    <t>Vestmannaeyjar</t>
  </si>
  <si>
    <t>Iceland</t>
  </si>
  <si>
    <t>WE30</t>
  </si>
  <si>
    <t>Pallas</t>
  </si>
  <si>
    <t>Finland</t>
  </si>
  <si>
    <t>WE37</t>
  </si>
  <si>
    <t>Mauna Loa</t>
  </si>
  <si>
    <t>USA</t>
  </si>
  <si>
    <t>WE39</t>
  </si>
  <si>
    <t>Arthurs Pass</t>
  </si>
  <si>
    <t>New Zealand</t>
  </si>
  <si>
    <t>WE41</t>
  </si>
  <si>
    <t>Donana National Park</t>
  </si>
  <si>
    <t>Spain</t>
  </si>
  <si>
    <t>WE44</t>
  </si>
  <si>
    <t>Izana</t>
  </si>
  <si>
    <t>AP1</t>
  </si>
  <si>
    <t>Serpong</t>
  </si>
  <si>
    <t>Indonesia</t>
  </si>
  <si>
    <t>AP2</t>
  </si>
  <si>
    <t>Pathum Thani</t>
  </si>
  <si>
    <t>Thailand</t>
  </si>
  <si>
    <t>AP3</t>
  </si>
  <si>
    <t>AP4</t>
  </si>
  <si>
    <t>Mt Lulin</t>
  </si>
  <si>
    <t>Taiwan</t>
  </si>
  <si>
    <t>HG2</t>
  </si>
  <si>
    <t>Kimberly</t>
  </si>
  <si>
    <t>MN16</t>
  </si>
  <si>
    <t>Marcell</t>
  </si>
  <si>
    <t>HG3</t>
  </si>
  <si>
    <t>Pic du Midi</t>
  </si>
  <si>
    <t>France</t>
  </si>
  <si>
    <t>MD99</t>
  </si>
  <si>
    <t>Beltsville</t>
  </si>
  <si>
    <t>CA75</t>
  </si>
  <si>
    <t>Sequoia</t>
  </si>
  <si>
    <t>MO46</t>
  </si>
  <si>
    <t>Mingo</t>
  </si>
  <si>
    <t>AK96</t>
  </si>
  <si>
    <t>Toolik</t>
  </si>
  <si>
    <t>HG4</t>
  </si>
  <si>
    <t>Crozet</t>
  </si>
  <si>
    <t>HG5</t>
  </si>
  <si>
    <t>Maido</t>
  </si>
  <si>
    <t>HG6</t>
  </si>
  <si>
    <t>Puy De Dome</t>
  </si>
  <si>
    <t>FS1</t>
  </si>
  <si>
    <t>Jackson, WY</t>
  </si>
  <si>
    <t>FS2</t>
  </si>
  <si>
    <t>Campton, NH</t>
  </si>
  <si>
    <t>FS3</t>
  </si>
  <si>
    <t>Fort Collins, CO</t>
  </si>
  <si>
    <t>FS4</t>
  </si>
  <si>
    <t>Awendaw, SC</t>
  </si>
  <si>
    <t>HG7</t>
  </si>
  <si>
    <t>Botswana</t>
  </si>
  <si>
    <t>HG8</t>
  </si>
  <si>
    <t>HG9</t>
  </si>
  <si>
    <t>NCP1</t>
  </si>
  <si>
    <t>Alert, NU</t>
  </si>
  <si>
    <t>Canada</t>
  </si>
  <si>
    <t>NCP2</t>
  </si>
  <si>
    <t>Whitehorse, YT</t>
  </si>
  <si>
    <t>NCP3</t>
  </si>
  <si>
    <t>Cambridge Bay, NU</t>
  </si>
  <si>
    <t>NCP4</t>
  </si>
  <si>
    <t>Kuujjuaq, QC</t>
  </si>
  <si>
    <t>NCP5</t>
  </si>
  <si>
    <t>Nain, NL</t>
  </si>
  <si>
    <t>NCP6</t>
  </si>
  <si>
    <t>Northwest River, NL</t>
  </si>
  <si>
    <t>NCP7</t>
  </si>
  <si>
    <t>Fort Resolution, NT</t>
  </si>
  <si>
    <t>NCP8</t>
  </si>
  <si>
    <t>Inuvik, NT</t>
  </si>
  <si>
    <t>NCP9</t>
  </si>
  <si>
    <t>Iqaluit, NU</t>
  </si>
  <si>
    <t>HG10</t>
  </si>
  <si>
    <t>Paramoribo</t>
  </si>
  <si>
    <t>Suriname</t>
  </si>
  <si>
    <t>HG11</t>
  </si>
  <si>
    <t>Apetina</t>
  </si>
  <si>
    <t>HG12</t>
  </si>
  <si>
    <t>Kawemhakan</t>
  </si>
  <si>
    <t>HG13</t>
  </si>
  <si>
    <t xml:space="preserve">Ho Chi Minh City </t>
  </si>
  <si>
    <t>Vietnam</t>
  </si>
  <si>
    <t>HG18</t>
  </si>
  <si>
    <t>Cape Grim</t>
  </si>
  <si>
    <t>Australia</t>
  </si>
  <si>
    <t>HG21</t>
  </si>
  <si>
    <t>Alice Springs</t>
  </si>
  <si>
    <t>HG19</t>
  </si>
  <si>
    <t>Darwin</t>
  </si>
  <si>
    <t>HG22</t>
  </si>
  <si>
    <t>Geraldton</t>
  </si>
  <si>
    <t>HG20</t>
  </si>
  <si>
    <t>Fowlers Gap</t>
  </si>
  <si>
    <t>HG23</t>
  </si>
  <si>
    <t>HG24</t>
  </si>
  <si>
    <t>Ha Noi City</t>
  </si>
  <si>
    <t>CB2</t>
  </si>
  <si>
    <t>St Kitts</t>
  </si>
  <si>
    <t>CB3</t>
  </si>
  <si>
    <t>Nevis</t>
  </si>
  <si>
    <t>CB1</t>
  </si>
  <si>
    <t>St John</t>
  </si>
  <si>
    <t>Antigua</t>
  </si>
  <si>
    <t>CB4</t>
  </si>
  <si>
    <t>Port of Spain</t>
  </si>
  <si>
    <t>Trinidad</t>
  </si>
  <si>
    <t>Hg25</t>
  </si>
  <si>
    <t>Nambia</t>
  </si>
  <si>
    <t>HG26</t>
  </si>
  <si>
    <t>HG27</t>
  </si>
  <si>
    <t>Sunyani</t>
  </si>
  <si>
    <t>Ghana</t>
  </si>
  <si>
    <t>HG28</t>
  </si>
  <si>
    <t>Kenyase</t>
  </si>
  <si>
    <t>HG29</t>
  </si>
  <si>
    <t>Springbok</t>
  </si>
  <si>
    <t>MERU, KE</t>
  </si>
  <si>
    <t>CAPE POINT, SF</t>
  </si>
  <si>
    <t>TOOLIK LAKE 5 ENE, AK US</t>
  </si>
  <si>
    <t>PATHUMTHANI, TH</t>
  </si>
  <si>
    <t>2022 Q1</t>
  </si>
  <si>
    <t xml:space="preserve">2022Q2 </t>
  </si>
  <si>
    <t>X</t>
  </si>
  <si>
    <t>KUWAIT INTERNATIONAL, KU</t>
  </si>
  <si>
    <t>KANDY, CE</t>
  </si>
  <si>
    <t>HANIMAADHOO, MV</t>
  </si>
  <si>
    <t>FRESNO YOSEMITE INTERNATIONAL, CA US</t>
  </si>
  <si>
    <t>KOSETICE, EZ</t>
  </si>
  <si>
    <t>MOUNT PLEASANT REGIONAL AIRPORT FASION FIELD, SC US</t>
  </si>
  <si>
    <t>SANTIAGO PEREZ, CO</t>
  </si>
  <si>
    <t>GRANTLEY ADAMS INTERNATIONAL AIRPORT, BB</t>
  </si>
  <si>
    <t>EMPALME SON., MX</t>
  </si>
  <si>
    <t>O</t>
  </si>
  <si>
    <t>COLLEGE PARK AIRPORT, MD US</t>
  </si>
  <si>
    <t>GRAND RAPIDS ITASCA CO AIRPORT, MN US</t>
  </si>
  <si>
    <t>POPLAR BLUFF MUNICIPAL AIRPORT, MO US</t>
  </si>
  <si>
    <t>L F WADE INTERNATIONAL AIRPORT KINDLEY FIELD, BD</t>
  </si>
  <si>
    <t>NY ALESUND, SV</t>
  </si>
  <si>
    <t>Site ID</t>
  </si>
  <si>
    <t>Location</t>
  </si>
  <si>
    <t>Country</t>
  </si>
  <si>
    <t>Continent/Region</t>
  </si>
  <si>
    <t>Latitude</t>
  </si>
  <si>
    <t>Longitude</t>
  </si>
  <si>
    <t>Network</t>
  </si>
  <si>
    <t>NOAA USAF ID</t>
  </si>
  <si>
    <t>NOAA Latitude</t>
  </si>
  <si>
    <t>NOAA Longitude</t>
  </si>
  <si>
    <t>Station name</t>
  </si>
  <si>
    <t>Distance</t>
  </si>
  <si>
    <t>Africa</t>
  </si>
  <si>
    <t>GAP</t>
  </si>
  <si>
    <t>Mt. Kenya</t>
  </si>
  <si>
    <t>Yaba, Lagos</t>
  </si>
  <si>
    <t>Nigeria</t>
  </si>
  <si>
    <t>Abdaly</t>
  </si>
  <si>
    <t>Asia</t>
  </si>
  <si>
    <t>Wilgamuwa</t>
  </si>
  <si>
    <t xml:space="preserve">Hanimaadhoo </t>
  </si>
  <si>
    <t>Košetice</t>
  </si>
  <si>
    <t>Europe</t>
  </si>
  <si>
    <t xml:space="preserve">Tapanti National Park, La Esperanza (Parque Nacional Tapanti, La Esperanza) </t>
  </si>
  <si>
    <t>Central America and the Caribbean</t>
  </si>
  <si>
    <t>Colombia</t>
  </si>
  <si>
    <t>South America</t>
  </si>
  <si>
    <t>Ragged Point, St. Philip</t>
  </si>
  <si>
    <t>Santa Cruz Island (Galapagos Islands)</t>
  </si>
  <si>
    <t>Celestún in Yucatan</t>
  </si>
  <si>
    <t>LICENCIADO MANUEL CRESCENCIO REJON INT, MX</t>
  </si>
  <si>
    <t>Ny-Ålesund</t>
  </si>
  <si>
    <t>Stórhöfði</t>
  </si>
  <si>
    <t>VESTMANNAEYJAR, IC</t>
  </si>
  <si>
    <t>WE25</t>
  </si>
  <si>
    <t>Little Fox Lake, Yukon</t>
  </si>
  <si>
    <t>North America</t>
  </si>
  <si>
    <t>WHITEHORSE AUTO, CA</t>
  </si>
  <si>
    <t>Pallas (Matorova station)</t>
  </si>
  <si>
    <t>MUONIO LAUKUKERO, FI</t>
  </si>
  <si>
    <t>Mauna Loa Obs, Hilo, Hawaii</t>
  </si>
  <si>
    <t>Oceania</t>
  </si>
  <si>
    <t>BRADSHAW ARMY AIR FIELD, HI US</t>
  </si>
  <si>
    <t>Temple Basin, Arthur's Pass</t>
  </si>
  <si>
    <t>HOKITIKA AERODROME, NZ</t>
  </si>
  <si>
    <t>Doñana National Park</t>
  </si>
  <si>
    <t>HUELVA, SP</t>
  </si>
  <si>
    <t>IZANA, SP</t>
  </si>
  <si>
    <t>NADP</t>
  </si>
  <si>
    <t>USFS</t>
  </si>
  <si>
    <t>?</t>
  </si>
  <si>
    <t>AMMAP</t>
  </si>
  <si>
    <t>TAIZHONG, CH</t>
  </si>
  <si>
    <t>TANSONNHAT INTERNATIONAL, VM</t>
  </si>
  <si>
    <t>NOIBAI INTERNATIONAL, VM</t>
  </si>
  <si>
    <t>HG30</t>
  </si>
  <si>
    <t>Palapye</t>
  </si>
  <si>
    <t>HG31</t>
  </si>
  <si>
    <t>Machakos</t>
  </si>
  <si>
    <t>HG32</t>
  </si>
  <si>
    <t>Okavango</t>
  </si>
  <si>
    <t>HG33</t>
  </si>
  <si>
    <t>Morogoro</t>
  </si>
  <si>
    <t>TANZANIA</t>
  </si>
  <si>
    <t>HG34</t>
  </si>
  <si>
    <t xml:space="preserve">Rigi-Seebodenalp </t>
  </si>
  <si>
    <t>Switzerland</t>
  </si>
  <si>
    <t>HG35</t>
  </si>
  <si>
    <t>Jungfraujoch</t>
  </si>
  <si>
    <t>HG36</t>
  </si>
  <si>
    <t>Chaumont</t>
  </si>
  <si>
    <t>HG37</t>
  </si>
  <si>
    <t>Beromünster</t>
  </si>
  <si>
    <t>HG38</t>
  </si>
  <si>
    <t>Tusukuba</t>
  </si>
  <si>
    <t>Japan</t>
  </si>
  <si>
    <t>CB5</t>
  </si>
  <si>
    <t>Castries</t>
  </si>
  <si>
    <t>Saint Lucia</t>
  </si>
  <si>
    <t>EU1</t>
  </si>
  <si>
    <t>Zöbelboden</t>
  </si>
  <si>
    <t>Austria</t>
  </si>
  <si>
    <t>EU2</t>
  </si>
  <si>
    <t>Bertiz</t>
  </si>
  <si>
    <t>EU3</t>
  </si>
  <si>
    <t>Birkenes</t>
  </si>
  <si>
    <t>EU4</t>
  </si>
  <si>
    <t>Aukstaitija</t>
  </si>
  <si>
    <t>Lithuania</t>
  </si>
  <si>
    <t>EU5</t>
  </si>
  <si>
    <t xml:space="preserve">Curonian Spit </t>
  </si>
  <si>
    <t>EU6</t>
  </si>
  <si>
    <t>Dzukija</t>
  </si>
  <si>
    <t>EU7</t>
  </si>
  <si>
    <t>Zemaitija</t>
  </si>
  <si>
    <t>EU8</t>
  </si>
  <si>
    <t xml:space="preserve">Puszcza Borecka </t>
  </si>
  <si>
    <t>Poland</t>
  </si>
  <si>
    <t>EU9</t>
  </si>
  <si>
    <t>Aneboda</t>
  </si>
  <si>
    <t>Sweden</t>
  </si>
  <si>
    <t>EU10</t>
  </si>
  <si>
    <t>Kindla</t>
  </si>
  <si>
    <t>EU11</t>
  </si>
  <si>
    <t>Gammtratten</t>
  </si>
  <si>
    <t>EU12</t>
  </si>
  <si>
    <t>Gårdsjön</t>
  </si>
  <si>
    <t>EU13</t>
  </si>
  <si>
    <t>Zingst</t>
  </si>
  <si>
    <t>Germany</t>
  </si>
  <si>
    <t>EU14</t>
  </si>
  <si>
    <t>Waldhof</t>
  </si>
  <si>
    <t>EU15</t>
  </si>
  <si>
    <t>Neuglobsow</t>
  </si>
  <si>
    <t>EU16</t>
  </si>
  <si>
    <t>Łysogóry</t>
  </si>
  <si>
    <t>EU17</t>
  </si>
  <si>
    <t>Szymbark</t>
  </si>
  <si>
    <t>EU18</t>
  </si>
  <si>
    <t>Florianka</t>
  </si>
  <si>
    <t>EU19</t>
  </si>
  <si>
    <t>Kampinos</t>
  </si>
  <si>
    <t>EU20</t>
  </si>
  <si>
    <t>Koniczynka</t>
  </si>
  <si>
    <t>EU21</t>
  </si>
  <si>
    <t>Sobolewo</t>
  </si>
  <si>
    <t>EU22</t>
  </si>
  <si>
    <t xml:space="preserve">Poznań-Morasko </t>
  </si>
  <si>
    <t>EC23</t>
  </si>
  <si>
    <t>Biala Gora</t>
  </si>
  <si>
    <t>EC24</t>
  </si>
  <si>
    <t>Szrenica</t>
  </si>
  <si>
    <t>EC25</t>
  </si>
  <si>
    <t>Parsęta</t>
  </si>
  <si>
    <t>x</t>
  </si>
  <si>
    <t>2022Q3</t>
  </si>
  <si>
    <t>2022Q4</t>
  </si>
  <si>
    <t xml:space="preserve">Berg Aukas </t>
  </si>
  <si>
    <t>Grootfontein</t>
  </si>
  <si>
    <t>Orpheus Island</t>
  </si>
  <si>
    <t>24.296198 </t>
  </si>
  <si>
    <t>TOBIAS BOLANOS INTERNATIONAL, CS</t>
  </si>
  <si>
    <t>VESTMANNAEYJABAER, IC</t>
  </si>
  <si>
    <t>CIREBON JATIWANGI, ID</t>
  </si>
  <si>
    <t>FANLO REFUGIO DE GORIZ, SP</t>
  </si>
  <si>
    <t>KIMBERLEY, SF</t>
  </si>
  <si>
    <t>ROBERT L BRADSHAW, SC</t>
  </si>
  <si>
    <t>VANCE WINKWORTH AMORY INTERNATIONAL, SC</t>
  </si>
  <si>
    <t>V C BIRD INTERNATIONAL, AC</t>
  </si>
  <si>
    <t>GROOTFONTEIN, WA</t>
  </si>
  <si>
    <t>SUNYANI, GH</t>
  </si>
  <si>
    <t>SPRINGBOK, SF</t>
  </si>
  <si>
    <t>SELEBI PHIKWE, BC</t>
  </si>
  <si>
    <t>NAIROBI JKIA, KE</t>
  </si>
  <si>
    <t>MAUN, BC</t>
  </si>
  <si>
    <t>MWANZA, TZ</t>
  </si>
  <si>
    <t>HYAKURI, JA</t>
  </si>
  <si>
    <t>KITTILA MATOROVA, FI</t>
  </si>
  <si>
    <t>2023Q1</t>
  </si>
  <si>
    <t>2023Q2</t>
  </si>
  <si>
    <t>2023Q3</t>
  </si>
  <si>
    <t>2023Q4</t>
  </si>
  <si>
    <t>GEORGE F L CHARLES AIRPORT, ST</t>
  </si>
  <si>
    <t>WINDISCHGARSTEN, AU</t>
  </si>
  <si>
    <t>PAMPLONA, SP</t>
  </si>
  <si>
    <t>KJEVIK, NO</t>
  </si>
  <si>
    <t>UTENA, LH</t>
  </si>
  <si>
    <t>KLAIPEDA, LH</t>
  </si>
  <si>
    <t>ALYTUS, LH</t>
  </si>
  <si>
    <t>LIEPAJA INTERNATIONAL, LG</t>
  </si>
  <si>
    <t>SUWALKI, PL</t>
  </si>
  <si>
    <t>KRONOBERG, SW</t>
  </si>
  <si>
    <t>KLOTEN, SW</t>
  </si>
  <si>
    <t>HEMLING, SW</t>
  </si>
  <si>
    <t>SAVE, SW</t>
  </si>
  <si>
    <t>GEDSER, DA</t>
  </si>
  <si>
    <t>CELLE, GM</t>
  </si>
  <si>
    <t>o</t>
  </si>
  <si>
    <t>KIELCE SUKOW, PL</t>
  </si>
  <si>
    <t>NOWY SACZ, PL</t>
  </si>
  <si>
    <t>ZAMOSC, PL</t>
  </si>
  <si>
    <t>BABICE, PL</t>
  </si>
  <si>
    <t>TORUN, PL</t>
  </si>
  <si>
    <t>LAWICA, PL</t>
  </si>
  <si>
    <t>SWINOUJSCIE, PL</t>
  </si>
  <si>
    <t>SNIEZKA, PL</t>
  </si>
  <si>
    <t>CHOJNICE, PL</t>
  </si>
  <si>
    <t>01007099999</t>
  </si>
  <si>
    <t>siteid</t>
  </si>
  <si>
    <t>passives_site_name</t>
  </si>
  <si>
    <t>country</t>
  </si>
  <si>
    <t>site_latdecd</t>
  </si>
  <si>
    <t>site_londecd</t>
  </si>
  <si>
    <t>distance_km</t>
  </si>
  <si>
    <t>station_code</t>
  </si>
  <si>
    <t>station_name</t>
  </si>
  <si>
    <t>station_latdecd</t>
  </si>
  <si>
    <t>station_londecd</t>
  </si>
  <si>
    <t>station_elev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</si>
</sst>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A31515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6948A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1" applyNumberFormat="0" applyFont="0" applyAlignment="0" applyProtection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0" fillId="5" borderId="0" xfId="0" applyFill="1"/>
    <xf numFmtId="0" fontId="0" fillId="6" borderId="0" xfId="0" applyFill="1"/>
    <xf numFmtId="0" fontId="4" fillId="0" borderId="0" xfId="0" applyFont="1"/>
    <xf numFmtId="0" fontId="3" fillId="3" borderId="0" xfId="2"/>
    <xf numFmtId="0" fontId="2" fillId="2" borderId="0" xfId="1"/>
    <xf numFmtId="0" fontId="0" fillId="4" borderId="1" xfId="3" applyFont="1"/>
    <xf numFmtId="0" fontId="3" fillId="4" borderId="1" xfId="3" applyFo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7" fillId="0" borderId="0" xfId="0" applyFont="1"/>
    <xf numFmtId="164" fontId="0" fillId="0" borderId="0" xfId="0" applyNumberFormat="1" applyAlignment="1">
      <alignment horizontal="right"/>
    </xf>
    <xf numFmtId="164" fontId="7" fillId="0" borderId="0" xfId="0" applyNumberFormat="1" applyFont="1" applyAlignment="1">
      <alignment horizontal="right"/>
    </xf>
    <xf numFmtId="0" fontId="8" fillId="0" borderId="0" xfId="4" applyAlignment="1">
      <alignment horizontal="left" vertical="center" wrapText="1"/>
    </xf>
    <xf numFmtId="0" fontId="0" fillId="0" borderId="0" xfId="0" quotePrefix="1"/>
    <xf numFmtId="0" fontId="9" fillId="0" borderId="0" xfId="0" applyFont="1" applyAlignment="1">
      <alignment vertical="center"/>
    </xf>
  </cellXfs>
  <cellStyles count="5">
    <cellStyle name="Bad" xfId="1" builtinId="27"/>
    <cellStyle name="Hyperlink" xfId="4" builtinId="8"/>
    <cellStyle name="Neutral" xfId="2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cei.noaa.gov/data/global-hourly/access/2021/02882099999.csv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8"/>
  <sheetViews>
    <sheetView tabSelected="1" workbookViewId="0">
      <selection activeCell="E41" sqref="E41"/>
    </sheetView>
  </sheetViews>
  <sheetFormatPr defaultRowHeight="14.4" x14ac:dyDescent="0.3"/>
  <cols>
    <col min="2" max="2" width="26.88671875" bestFit="1" customWidth="1"/>
    <col min="3" max="3" width="14.44140625" bestFit="1" customWidth="1"/>
    <col min="4" max="5" width="12.6640625" bestFit="1" customWidth="1"/>
    <col min="7" max="7" width="12" bestFit="1" customWidth="1"/>
    <col min="8" max="8" width="31.6640625" customWidth="1"/>
    <col min="9" max="9" width="9.33203125" customWidth="1"/>
  </cols>
  <sheetData>
    <row r="1" spans="1:20" x14ac:dyDescent="0.3">
      <c r="A1" t="s">
        <v>383</v>
      </c>
      <c r="B1" s="17" t="s">
        <v>384</v>
      </c>
      <c r="C1" t="s">
        <v>385</v>
      </c>
      <c r="D1" s="17" t="s">
        <v>386</v>
      </c>
      <c r="E1" s="17" t="s">
        <v>387</v>
      </c>
      <c r="F1" t="s">
        <v>388</v>
      </c>
      <c r="G1" t="s">
        <v>389</v>
      </c>
      <c r="H1" t="s">
        <v>390</v>
      </c>
      <c r="I1" t="s">
        <v>391</v>
      </c>
      <c r="J1" t="s">
        <v>392</v>
      </c>
      <c r="K1" t="s">
        <v>393</v>
      </c>
      <c r="M1" t="s">
        <v>177</v>
      </c>
      <c r="N1" t="s">
        <v>178</v>
      </c>
      <c r="O1" t="s">
        <v>330</v>
      </c>
      <c r="P1" t="s">
        <v>331</v>
      </c>
      <c r="Q1" t="s">
        <v>353</v>
      </c>
      <c r="R1" t="s">
        <v>354</v>
      </c>
      <c r="S1" t="s">
        <v>355</v>
      </c>
      <c r="T1" t="s">
        <v>356</v>
      </c>
    </row>
    <row r="2" spans="1:20" x14ac:dyDescent="0.3">
      <c r="A2" t="s">
        <v>1</v>
      </c>
      <c r="B2" t="s">
        <v>2</v>
      </c>
      <c r="C2" t="s">
        <v>3</v>
      </c>
      <c r="D2">
        <v>-30.665003484726789</v>
      </c>
      <c r="E2">
        <v>23.993001247379588</v>
      </c>
      <c r="F2">
        <v>2.29</v>
      </c>
      <c r="G2">
        <v>68538099999</v>
      </c>
      <c r="H2" t="s">
        <v>0</v>
      </c>
      <c r="I2">
        <v>-30.6666667</v>
      </c>
      <c r="J2">
        <v>24.016666699999998</v>
      </c>
      <c r="K2">
        <v>1287</v>
      </c>
      <c r="M2" t="s">
        <v>179</v>
      </c>
      <c r="N2" t="s">
        <v>179</v>
      </c>
      <c r="O2" t="s">
        <v>329</v>
      </c>
      <c r="P2" t="s">
        <v>329</v>
      </c>
      <c r="Q2" t="s">
        <v>329</v>
      </c>
      <c r="R2" t="s">
        <v>329</v>
      </c>
      <c r="S2" t="s">
        <v>329</v>
      </c>
      <c r="T2" t="s">
        <v>329</v>
      </c>
    </row>
    <row r="3" spans="1:20" x14ac:dyDescent="0.3">
      <c r="A3" t="s">
        <v>4</v>
      </c>
      <c r="B3" t="s">
        <v>5</v>
      </c>
      <c r="C3" t="s">
        <v>6</v>
      </c>
      <c r="D3">
        <v>-6.2200000670015423E-2</v>
      </c>
      <c r="E3">
        <v>37.297199376529768</v>
      </c>
      <c r="F3">
        <v>42.33</v>
      </c>
      <c r="G3">
        <v>63695099999</v>
      </c>
      <c r="H3" t="s">
        <v>173</v>
      </c>
      <c r="I3">
        <v>8.3333299999999999E-2</v>
      </c>
      <c r="J3">
        <v>37.65</v>
      </c>
      <c r="K3">
        <v>1554</v>
      </c>
      <c r="M3" t="s">
        <v>179</v>
      </c>
      <c r="N3" t="s">
        <v>179</v>
      </c>
      <c r="O3" t="s">
        <v>329</v>
      </c>
      <c r="P3" t="s">
        <v>329</v>
      </c>
      <c r="Q3" t="s">
        <v>329</v>
      </c>
      <c r="R3" t="s">
        <v>329</v>
      </c>
      <c r="S3" t="s">
        <v>329</v>
      </c>
      <c r="T3" t="s">
        <v>329</v>
      </c>
    </row>
    <row r="4" spans="1:20" x14ac:dyDescent="0.3">
      <c r="A4" t="s">
        <v>7</v>
      </c>
      <c r="B4" t="s">
        <v>8</v>
      </c>
      <c r="C4" t="s">
        <v>9</v>
      </c>
      <c r="D4">
        <v>6.5177310000000004</v>
      </c>
      <c r="E4">
        <v>3.3726180000000001</v>
      </c>
      <c r="F4">
        <v>0</v>
      </c>
    </row>
    <row r="5" spans="1:20" x14ac:dyDescent="0.3">
      <c r="A5" t="s">
        <v>10</v>
      </c>
      <c r="B5" t="s">
        <v>11</v>
      </c>
      <c r="C5" t="s">
        <v>12</v>
      </c>
      <c r="D5">
        <v>16.885999999999999</v>
      </c>
      <c r="E5">
        <v>24.988</v>
      </c>
      <c r="M5" t="s">
        <v>189</v>
      </c>
      <c r="N5" t="s">
        <v>189</v>
      </c>
      <c r="O5" t="s">
        <v>189</v>
      </c>
      <c r="P5" t="s">
        <v>189</v>
      </c>
    </row>
    <row r="6" spans="1:20" x14ac:dyDescent="0.3">
      <c r="A6" t="s">
        <v>13</v>
      </c>
      <c r="B6" t="s">
        <v>14</v>
      </c>
      <c r="C6" t="s">
        <v>3</v>
      </c>
      <c r="D6">
        <v>-34.35</v>
      </c>
      <c r="E6">
        <v>18.483332999999998</v>
      </c>
      <c r="F6">
        <v>0.59</v>
      </c>
      <c r="G6">
        <v>68916099999</v>
      </c>
      <c r="H6" t="s">
        <v>174</v>
      </c>
      <c r="I6">
        <v>-34.35</v>
      </c>
      <c r="J6">
        <v>18.5</v>
      </c>
      <c r="K6">
        <v>238</v>
      </c>
      <c r="M6" t="s">
        <v>179</v>
      </c>
      <c r="N6" t="s">
        <v>179</v>
      </c>
      <c r="O6" t="s">
        <v>329</v>
      </c>
      <c r="P6" t="s">
        <v>329</v>
      </c>
      <c r="Q6" t="s">
        <v>329</v>
      </c>
      <c r="R6" t="s">
        <v>329</v>
      </c>
    </row>
    <row r="7" spans="1:20" x14ac:dyDescent="0.3">
      <c r="A7" t="s">
        <v>15</v>
      </c>
      <c r="B7" t="s">
        <v>16</v>
      </c>
      <c r="C7" t="s">
        <v>17</v>
      </c>
      <c r="D7">
        <v>29.97883300018599</v>
      </c>
      <c r="E7">
        <v>47.706333333353179</v>
      </c>
      <c r="F7">
        <v>87.62</v>
      </c>
      <c r="G7">
        <v>40582099999</v>
      </c>
      <c r="H7" t="s">
        <v>180</v>
      </c>
      <c r="I7">
        <v>29.226566999999999</v>
      </c>
      <c r="J7">
        <v>47.968927999999998</v>
      </c>
      <c r="K7">
        <v>62.78</v>
      </c>
      <c r="M7" t="s">
        <v>179</v>
      </c>
      <c r="N7" t="s">
        <v>179</v>
      </c>
      <c r="O7" t="s">
        <v>329</v>
      </c>
      <c r="P7" t="s">
        <v>329</v>
      </c>
      <c r="Q7" t="s">
        <v>329</v>
      </c>
      <c r="R7" t="s">
        <v>329</v>
      </c>
    </row>
    <row r="8" spans="1:20" x14ac:dyDescent="0.3">
      <c r="A8" t="s">
        <v>21</v>
      </c>
      <c r="B8" t="s">
        <v>22</v>
      </c>
      <c r="C8" t="s">
        <v>23</v>
      </c>
      <c r="D8">
        <v>6.7763</v>
      </c>
      <c r="E8">
        <v>73.183300000000003</v>
      </c>
      <c r="F8">
        <v>4.55</v>
      </c>
      <c r="G8">
        <v>43533099999</v>
      </c>
      <c r="H8" t="s">
        <v>182</v>
      </c>
      <c r="I8">
        <v>6.7333333</v>
      </c>
      <c r="J8">
        <v>73.166666599999999</v>
      </c>
      <c r="K8">
        <v>2</v>
      </c>
      <c r="M8" t="s">
        <v>179</v>
      </c>
      <c r="N8" t="s">
        <v>179</v>
      </c>
      <c r="O8" t="s">
        <v>329</v>
      </c>
      <c r="P8" t="s">
        <v>329</v>
      </c>
      <c r="Q8" t="s">
        <v>329</v>
      </c>
      <c r="R8" t="s">
        <v>329</v>
      </c>
    </row>
    <row r="9" spans="1:20" x14ac:dyDescent="0.3">
      <c r="A9" t="s">
        <v>24</v>
      </c>
      <c r="B9" t="s">
        <v>25</v>
      </c>
      <c r="C9" t="s">
        <v>26</v>
      </c>
      <c r="D9">
        <v>49.583565910030657</v>
      </c>
      <c r="E9">
        <v>15.0837248468391</v>
      </c>
      <c r="F9">
        <v>1.88</v>
      </c>
      <c r="G9">
        <v>11628099999</v>
      </c>
      <c r="H9" t="s">
        <v>184</v>
      </c>
      <c r="I9">
        <v>49.566666599999998</v>
      </c>
      <c r="J9">
        <v>15.0833333</v>
      </c>
      <c r="K9">
        <v>532.05999999999995</v>
      </c>
      <c r="M9" t="s">
        <v>179</v>
      </c>
      <c r="N9" t="s">
        <v>179</v>
      </c>
      <c r="O9" t="s">
        <v>329</v>
      </c>
      <c r="P9" t="s">
        <v>329</v>
      </c>
      <c r="Q9" t="s">
        <v>329</v>
      </c>
      <c r="R9" t="s">
        <v>329</v>
      </c>
    </row>
    <row r="10" spans="1:20" x14ac:dyDescent="0.3">
      <c r="A10" t="s">
        <v>27</v>
      </c>
      <c r="B10" t="s">
        <v>28</v>
      </c>
      <c r="C10" t="s">
        <v>29</v>
      </c>
      <c r="D10">
        <v>9.6957328184841298</v>
      </c>
      <c r="E10">
        <v>-83.865354092821718</v>
      </c>
      <c r="F10">
        <v>0</v>
      </c>
      <c r="G10">
        <v>78764099999</v>
      </c>
      <c r="H10" t="s">
        <v>336</v>
      </c>
      <c r="I10">
        <v>9.9570530000000002</v>
      </c>
      <c r="J10">
        <v>-84.139797000000002</v>
      </c>
      <c r="K10">
        <v>993.95</v>
      </c>
      <c r="M10" t="s">
        <v>329</v>
      </c>
      <c r="N10" t="s">
        <v>329</v>
      </c>
      <c r="O10" t="s">
        <v>329</v>
      </c>
      <c r="P10" t="s">
        <v>329</v>
      </c>
      <c r="Q10" t="s">
        <v>329</v>
      </c>
      <c r="R10" t="s">
        <v>329</v>
      </c>
    </row>
    <row r="11" spans="1:20" x14ac:dyDescent="0.3">
      <c r="A11" t="s">
        <v>30</v>
      </c>
      <c r="B11" t="s">
        <v>31</v>
      </c>
      <c r="C11" t="s">
        <v>32</v>
      </c>
      <c r="D11">
        <v>7.0128472222222218</v>
      </c>
      <c r="E11">
        <v>-70.743397999999999</v>
      </c>
      <c r="F11">
        <v>6.26</v>
      </c>
      <c r="G11">
        <v>80099099999</v>
      </c>
      <c r="H11" t="s">
        <v>186</v>
      </c>
      <c r="I11">
        <v>7.0688810000000002</v>
      </c>
      <c r="J11">
        <v>-70.736924999999999</v>
      </c>
      <c r="K11">
        <v>128.01</v>
      </c>
      <c r="M11" t="s">
        <v>179</v>
      </c>
      <c r="N11" t="s">
        <v>179</v>
      </c>
      <c r="O11" t="s">
        <v>329</v>
      </c>
      <c r="P11" t="s">
        <v>329</v>
      </c>
      <c r="Q11" t="s">
        <v>329</v>
      </c>
      <c r="R11" t="s">
        <v>329</v>
      </c>
    </row>
    <row r="12" spans="1:20" x14ac:dyDescent="0.3">
      <c r="A12" t="s">
        <v>33</v>
      </c>
      <c r="B12" t="s">
        <v>34</v>
      </c>
      <c r="C12" t="s">
        <v>35</v>
      </c>
      <c r="D12">
        <v>13.165051376925639</v>
      </c>
      <c r="E12">
        <v>-59.432150786018717</v>
      </c>
      <c r="F12">
        <v>11.36</v>
      </c>
      <c r="G12">
        <v>78954000408</v>
      </c>
      <c r="H12" t="s">
        <v>187</v>
      </c>
      <c r="I12">
        <v>13.067</v>
      </c>
      <c r="J12">
        <v>-59.482999999999997</v>
      </c>
      <c r="K12">
        <v>52.1</v>
      </c>
      <c r="M12" t="s">
        <v>179</v>
      </c>
      <c r="N12" t="s">
        <v>179</v>
      </c>
      <c r="O12" t="s">
        <v>329</v>
      </c>
      <c r="P12" t="s">
        <v>329</v>
      </c>
      <c r="Q12" t="s">
        <v>329</v>
      </c>
      <c r="R12" t="s">
        <v>329</v>
      </c>
    </row>
    <row r="13" spans="1:20" x14ac:dyDescent="0.3">
      <c r="A13" t="s">
        <v>36</v>
      </c>
      <c r="B13" t="s">
        <v>37</v>
      </c>
      <c r="C13" t="s">
        <v>38</v>
      </c>
      <c r="D13">
        <v>-0.97845768903379016</v>
      </c>
      <c r="E13">
        <v>-89.359129486434838</v>
      </c>
      <c r="F13">
        <v>0</v>
      </c>
      <c r="M13" t="s">
        <v>189</v>
      </c>
      <c r="N13" t="s">
        <v>189</v>
      </c>
      <c r="O13" t="s">
        <v>189</v>
      </c>
      <c r="P13" t="s">
        <v>189</v>
      </c>
    </row>
    <row r="14" spans="1:20" x14ac:dyDescent="0.3">
      <c r="A14" t="s">
        <v>39</v>
      </c>
      <c r="B14" t="s">
        <v>40</v>
      </c>
      <c r="C14" t="s">
        <v>41</v>
      </c>
      <c r="D14">
        <v>27.127307931512249</v>
      </c>
      <c r="E14">
        <v>-109.84047077858141</v>
      </c>
      <c r="F14">
        <v>125.25</v>
      </c>
      <c r="G14">
        <v>76256099999</v>
      </c>
      <c r="H14" t="s">
        <v>188</v>
      </c>
      <c r="I14">
        <v>27.95</v>
      </c>
      <c r="J14">
        <v>-110.76666659999999</v>
      </c>
      <c r="K14">
        <v>12</v>
      </c>
      <c r="M14" t="s">
        <v>189</v>
      </c>
      <c r="N14" t="s">
        <v>189</v>
      </c>
      <c r="O14" t="s">
        <v>189</v>
      </c>
      <c r="P14" t="s">
        <v>189</v>
      </c>
    </row>
    <row r="15" spans="1:20" x14ac:dyDescent="0.3">
      <c r="A15" t="s">
        <v>42</v>
      </c>
      <c r="B15" t="s">
        <v>43</v>
      </c>
      <c r="C15" t="s">
        <v>41</v>
      </c>
      <c r="D15">
        <v>20.859200787164689</v>
      </c>
      <c r="E15">
        <v>-90.392400019074429</v>
      </c>
      <c r="F15">
        <v>77.16</v>
      </c>
      <c r="M15" t="s">
        <v>189</v>
      </c>
      <c r="N15" t="s">
        <v>189</v>
      </c>
      <c r="O15" t="s">
        <v>189</v>
      </c>
      <c r="P15" t="s">
        <v>189</v>
      </c>
    </row>
    <row r="16" spans="1:20" x14ac:dyDescent="0.3">
      <c r="A16" t="s">
        <v>44</v>
      </c>
      <c r="B16" t="s">
        <v>45</v>
      </c>
      <c r="C16" t="s">
        <v>46</v>
      </c>
      <c r="D16">
        <v>32.366667000020762</v>
      </c>
      <c r="E16">
        <v>-64.650000000137055</v>
      </c>
      <c r="F16">
        <v>3.06</v>
      </c>
      <c r="G16">
        <v>78016013601</v>
      </c>
      <c r="H16" t="s">
        <v>193</v>
      </c>
      <c r="I16">
        <v>32.366669999999999</v>
      </c>
      <c r="J16">
        <v>-64.683329999999998</v>
      </c>
      <c r="K16">
        <v>5.5</v>
      </c>
      <c r="M16" t="s">
        <v>179</v>
      </c>
      <c r="N16" t="s">
        <v>179</v>
      </c>
      <c r="O16" t="s">
        <v>329</v>
      </c>
      <c r="P16" t="s">
        <v>329</v>
      </c>
      <c r="Q16" t="s">
        <v>329</v>
      </c>
      <c r="R16" t="s">
        <v>329</v>
      </c>
    </row>
    <row r="17" spans="1:18" x14ac:dyDescent="0.3">
      <c r="A17" t="s">
        <v>47</v>
      </c>
      <c r="B17" t="s">
        <v>48</v>
      </c>
      <c r="C17" t="s">
        <v>49</v>
      </c>
      <c r="D17">
        <v>78.907249958650297</v>
      </c>
      <c r="E17">
        <v>11.88666693015877</v>
      </c>
      <c r="F17">
        <v>1.44</v>
      </c>
      <c r="G17" s="16" t="s">
        <v>382</v>
      </c>
      <c r="H17" t="s">
        <v>194</v>
      </c>
      <c r="I17">
        <v>78.916666599999999</v>
      </c>
      <c r="J17">
        <v>11.933333299999999</v>
      </c>
      <c r="K17">
        <v>7.7</v>
      </c>
      <c r="M17" t="s">
        <v>329</v>
      </c>
      <c r="N17" t="s">
        <v>329</v>
      </c>
      <c r="O17" t="s">
        <v>329</v>
      </c>
      <c r="P17" t="s">
        <v>329</v>
      </c>
      <c r="Q17" t="s">
        <v>329</v>
      </c>
      <c r="R17" t="s">
        <v>329</v>
      </c>
    </row>
    <row r="18" spans="1:18" x14ac:dyDescent="0.3">
      <c r="A18" t="s">
        <v>50</v>
      </c>
      <c r="B18" t="s">
        <v>51</v>
      </c>
      <c r="C18" t="s">
        <v>52</v>
      </c>
      <c r="D18">
        <v>63.399999997245999</v>
      </c>
      <c r="E18">
        <v>-20.282999998103911</v>
      </c>
      <c r="F18">
        <v>2.71</v>
      </c>
      <c r="G18">
        <v>4146099999</v>
      </c>
      <c r="H18" t="s">
        <v>337</v>
      </c>
      <c r="I18">
        <v>63.433333300000001</v>
      </c>
      <c r="J18">
        <v>-20.283333299999999</v>
      </c>
      <c r="K18">
        <v>40</v>
      </c>
      <c r="M18" t="s">
        <v>329</v>
      </c>
      <c r="N18" t="s">
        <v>329</v>
      </c>
      <c r="O18" t="s">
        <v>329</v>
      </c>
      <c r="P18" t="s">
        <v>329</v>
      </c>
      <c r="Q18" t="s">
        <v>329</v>
      </c>
      <c r="R18" t="s">
        <v>329</v>
      </c>
    </row>
    <row r="19" spans="1:18" x14ac:dyDescent="0.3">
      <c r="A19" t="s">
        <v>53</v>
      </c>
      <c r="B19" t="s">
        <v>54</v>
      </c>
      <c r="C19" t="s">
        <v>55</v>
      </c>
      <c r="D19">
        <v>67.999999999221728</v>
      </c>
      <c r="E19">
        <v>24.24000000161006</v>
      </c>
      <c r="F19">
        <v>11.4</v>
      </c>
      <c r="G19">
        <v>2820099999</v>
      </c>
      <c r="H19" s="15" t="s">
        <v>352</v>
      </c>
      <c r="I19">
        <v>68.066666600000005</v>
      </c>
      <c r="J19">
        <v>24.033333299999999</v>
      </c>
      <c r="K19">
        <v>762</v>
      </c>
      <c r="M19" t="s">
        <v>329</v>
      </c>
      <c r="N19" t="s">
        <v>329</v>
      </c>
      <c r="O19" t="s">
        <v>329</v>
      </c>
      <c r="P19" t="s">
        <v>329</v>
      </c>
      <c r="Q19" t="s">
        <v>329</v>
      </c>
      <c r="R19" t="s">
        <v>329</v>
      </c>
    </row>
    <row r="20" spans="1:18" x14ac:dyDescent="0.3">
      <c r="A20" t="s">
        <v>56</v>
      </c>
      <c r="B20" s="1" t="s">
        <v>57</v>
      </c>
      <c r="C20" s="1" t="s">
        <v>58</v>
      </c>
      <c r="D20">
        <v>19.535913999999998</v>
      </c>
      <c r="E20">
        <v>-155.57669999999999</v>
      </c>
      <c r="F20">
        <v>24.92</v>
      </c>
      <c r="G20">
        <v>91197721508</v>
      </c>
      <c r="H20" t="s">
        <v>237</v>
      </c>
      <c r="I20">
        <v>19.760000000000002</v>
      </c>
      <c r="J20">
        <v>-155.55360999999999</v>
      </c>
      <c r="K20">
        <v>1798.3</v>
      </c>
      <c r="M20" t="s">
        <v>329</v>
      </c>
      <c r="N20" t="s">
        <v>329</v>
      </c>
      <c r="O20" t="s">
        <v>329</v>
      </c>
      <c r="P20" t="s">
        <v>329</v>
      </c>
      <c r="Q20" t="s">
        <v>329</v>
      </c>
      <c r="R20" t="s">
        <v>329</v>
      </c>
    </row>
    <row r="21" spans="1:18" x14ac:dyDescent="0.3">
      <c r="A21" t="s">
        <v>59</v>
      </c>
      <c r="B21" t="s">
        <v>60</v>
      </c>
      <c r="C21" t="s">
        <v>61</v>
      </c>
      <c r="D21">
        <v>-42.908888999137588</v>
      </c>
      <c r="E21">
        <v>171.57472199954989</v>
      </c>
      <c r="F21">
        <v>52.75</v>
      </c>
      <c r="M21" t="s">
        <v>189</v>
      </c>
      <c r="N21" t="s">
        <v>189</v>
      </c>
      <c r="O21" t="s">
        <v>189</v>
      </c>
      <c r="P21" t="s">
        <v>189</v>
      </c>
    </row>
    <row r="22" spans="1:18" x14ac:dyDescent="0.3">
      <c r="A22" t="s">
        <v>62</v>
      </c>
      <c r="B22" t="s">
        <v>63</v>
      </c>
      <c r="C22" t="s">
        <v>64</v>
      </c>
      <c r="D22">
        <v>37.053333002102583</v>
      </c>
      <c r="E22">
        <v>-6.5541670004420061</v>
      </c>
      <c r="F22">
        <v>41</v>
      </c>
      <c r="G22">
        <v>8383099999</v>
      </c>
      <c r="H22" t="s">
        <v>241</v>
      </c>
      <c r="I22">
        <v>37.283333300000002</v>
      </c>
      <c r="J22">
        <v>-6.9166666000000001</v>
      </c>
      <c r="K22">
        <v>20</v>
      </c>
      <c r="M22" t="s">
        <v>329</v>
      </c>
      <c r="N22" t="s">
        <v>329</v>
      </c>
      <c r="O22" t="s">
        <v>329</v>
      </c>
      <c r="P22" t="s">
        <v>329</v>
      </c>
      <c r="Q22" t="s">
        <v>179</v>
      </c>
      <c r="R22" t="s">
        <v>329</v>
      </c>
    </row>
    <row r="23" spans="1:18" x14ac:dyDescent="0.3">
      <c r="A23" t="s">
        <v>65</v>
      </c>
      <c r="B23" t="s">
        <v>66</v>
      </c>
      <c r="C23" t="s">
        <v>64</v>
      </c>
      <c r="D23">
        <v>28.3089834713785</v>
      </c>
      <c r="E23">
        <v>-16.499384230531088</v>
      </c>
      <c r="F23">
        <v>0.85</v>
      </c>
      <c r="G23">
        <v>60010099999</v>
      </c>
      <c r="H23" t="s">
        <v>242</v>
      </c>
      <c r="I23">
        <v>28.316666600000001</v>
      </c>
      <c r="J23">
        <v>-16.5</v>
      </c>
      <c r="K23">
        <v>2368</v>
      </c>
      <c r="M23" t="s">
        <v>329</v>
      </c>
      <c r="N23" t="s">
        <v>329</v>
      </c>
      <c r="O23" t="s">
        <v>329</v>
      </c>
      <c r="P23" t="s">
        <v>329</v>
      </c>
      <c r="Q23" t="s">
        <v>179</v>
      </c>
      <c r="R23" t="s">
        <v>329</v>
      </c>
    </row>
    <row r="24" spans="1:18" x14ac:dyDescent="0.3">
      <c r="A24" t="s">
        <v>67</v>
      </c>
      <c r="B24" t="s">
        <v>68</v>
      </c>
      <c r="C24" t="s">
        <v>69</v>
      </c>
      <c r="D24">
        <v>-6.2088000000000001</v>
      </c>
      <c r="E24">
        <v>108.8455</v>
      </c>
      <c r="G24">
        <v>96791099999</v>
      </c>
      <c r="H24" t="s">
        <v>338</v>
      </c>
      <c r="I24">
        <v>-6.75</v>
      </c>
      <c r="J24">
        <v>108.26666659999999</v>
      </c>
      <c r="K24">
        <v>50</v>
      </c>
      <c r="M24" t="s">
        <v>329</v>
      </c>
      <c r="N24" t="s">
        <v>329</v>
      </c>
      <c r="O24" t="s">
        <v>329</v>
      </c>
      <c r="P24" t="s">
        <v>329</v>
      </c>
      <c r="Q24" t="s">
        <v>329</v>
      </c>
      <c r="R24" t="s">
        <v>329</v>
      </c>
    </row>
    <row r="25" spans="1:18" x14ac:dyDescent="0.3">
      <c r="A25" t="s">
        <v>70</v>
      </c>
      <c r="B25" t="s">
        <v>71</v>
      </c>
      <c r="C25" t="s">
        <v>72</v>
      </c>
      <c r="D25">
        <v>14.046200000000001</v>
      </c>
      <c r="E25">
        <v>100.71429999999999</v>
      </c>
      <c r="F25">
        <v>12</v>
      </c>
      <c r="G25">
        <v>48419099</v>
      </c>
      <c r="H25" t="s">
        <v>176</v>
      </c>
      <c r="I25">
        <v>14.1</v>
      </c>
      <c r="J25">
        <v>100.6166666</v>
      </c>
      <c r="K25">
        <v>7</v>
      </c>
      <c r="M25" t="s">
        <v>179</v>
      </c>
      <c r="N25" t="s">
        <v>179</v>
      </c>
      <c r="O25" t="s">
        <v>329</v>
      </c>
      <c r="P25" t="s">
        <v>329</v>
      </c>
      <c r="Q25" t="s">
        <v>329</v>
      </c>
      <c r="R25" t="s">
        <v>329</v>
      </c>
    </row>
    <row r="26" spans="1:18" x14ac:dyDescent="0.3">
      <c r="A26" t="s">
        <v>73</v>
      </c>
      <c r="B26" t="s">
        <v>19</v>
      </c>
      <c r="C26" t="s">
        <v>20</v>
      </c>
      <c r="D26">
        <v>7.7092499999999999</v>
      </c>
      <c r="E26">
        <v>80.782523999999995</v>
      </c>
      <c r="F26">
        <v>10</v>
      </c>
      <c r="G26">
        <v>43444099999</v>
      </c>
      <c r="H26" t="s">
        <v>181</v>
      </c>
      <c r="I26">
        <v>7.3333332999999996</v>
      </c>
      <c r="J26">
        <v>80.633333300000004</v>
      </c>
      <c r="K26">
        <v>477</v>
      </c>
      <c r="M26" t="s">
        <v>179</v>
      </c>
      <c r="N26" t="s">
        <v>179</v>
      </c>
      <c r="O26" t="s">
        <v>329</v>
      </c>
      <c r="P26" t="s">
        <v>329</v>
      </c>
      <c r="Q26" t="s">
        <v>329</v>
      </c>
      <c r="R26" t="s">
        <v>329</v>
      </c>
    </row>
    <row r="27" spans="1:18" x14ac:dyDescent="0.3">
      <c r="A27" t="s">
        <v>74</v>
      </c>
      <c r="B27" s="1" t="s">
        <v>75</v>
      </c>
      <c r="C27" s="1" t="s">
        <v>76</v>
      </c>
      <c r="D27">
        <v>23.468900000000001</v>
      </c>
      <c r="E27">
        <v>120.8729</v>
      </c>
      <c r="F27">
        <v>78</v>
      </c>
    </row>
    <row r="28" spans="1:18" x14ac:dyDescent="0.3">
      <c r="A28" t="s">
        <v>77</v>
      </c>
      <c r="B28" t="s">
        <v>78</v>
      </c>
      <c r="C28" t="s">
        <v>3</v>
      </c>
      <c r="D28">
        <v>-28.699468100000001</v>
      </c>
      <c r="E28">
        <v>24.578396699999999</v>
      </c>
      <c r="G28">
        <v>68438099999</v>
      </c>
      <c r="H28" t="s">
        <v>340</v>
      </c>
      <c r="I28">
        <v>-28.802834000000001</v>
      </c>
      <c r="J28">
        <v>24.765167000000002</v>
      </c>
      <c r="K28">
        <v>1203.96</v>
      </c>
      <c r="O28" t="s">
        <v>329</v>
      </c>
      <c r="P28" t="s">
        <v>329</v>
      </c>
      <c r="Q28" t="s">
        <v>329</v>
      </c>
      <c r="R28" t="s">
        <v>329</v>
      </c>
    </row>
    <row r="29" spans="1:18" x14ac:dyDescent="0.3">
      <c r="A29" t="s">
        <v>79</v>
      </c>
      <c r="B29" t="s">
        <v>80</v>
      </c>
      <c r="C29" t="s">
        <v>58</v>
      </c>
      <c r="D29">
        <v>47.531100000000002</v>
      </c>
      <c r="E29">
        <v>-93.468599999999995</v>
      </c>
      <c r="F29">
        <v>35.54</v>
      </c>
      <c r="G29">
        <v>72745894919</v>
      </c>
      <c r="H29" t="s">
        <v>191</v>
      </c>
      <c r="I29">
        <v>47.211109999999998</v>
      </c>
      <c r="J29">
        <v>-93.509720000000002</v>
      </c>
      <c r="K29">
        <v>413</v>
      </c>
      <c r="M29" t="s">
        <v>179</v>
      </c>
      <c r="N29" t="s">
        <v>179</v>
      </c>
      <c r="O29" t="s">
        <v>329</v>
      </c>
      <c r="P29" t="s">
        <v>329</v>
      </c>
      <c r="Q29" t="s">
        <v>329</v>
      </c>
      <c r="R29" t="s">
        <v>329</v>
      </c>
    </row>
    <row r="30" spans="1:18" x14ac:dyDescent="0.3">
      <c r="A30" t="s">
        <v>81</v>
      </c>
      <c r="B30" t="s">
        <v>82</v>
      </c>
      <c r="C30" t="s">
        <v>83</v>
      </c>
      <c r="D30">
        <v>42.936900000000001</v>
      </c>
      <c r="E30">
        <v>0.1323</v>
      </c>
      <c r="G30">
        <v>8926099999</v>
      </c>
      <c r="H30" t="s">
        <v>339</v>
      </c>
      <c r="I30">
        <v>42.666666599999999</v>
      </c>
      <c r="J30">
        <v>1.66666E-2</v>
      </c>
      <c r="K30">
        <v>2195</v>
      </c>
    </row>
    <row r="31" spans="1:18" x14ac:dyDescent="0.3">
      <c r="A31" t="s">
        <v>84</v>
      </c>
      <c r="B31" t="s">
        <v>85</v>
      </c>
      <c r="C31" t="s">
        <v>58</v>
      </c>
      <c r="D31">
        <v>39.027999999999999</v>
      </c>
      <c r="E31">
        <v>-76.817099999999996</v>
      </c>
      <c r="F31">
        <v>10.47</v>
      </c>
      <c r="G31">
        <v>72224400358</v>
      </c>
      <c r="H31" t="s">
        <v>190</v>
      </c>
      <c r="I31">
        <v>38.981000000000002</v>
      </c>
      <c r="J31">
        <v>-76.921999999999997</v>
      </c>
      <c r="K31">
        <v>15.2</v>
      </c>
      <c r="M31" t="s">
        <v>179</v>
      </c>
      <c r="N31" t="s">
        <v>179</v>
      </c>
      <c r="O31" t="s">
        <v>329</v>
      </c>
      <c r="P31" t="s">
        <v>329</v>
      </c>
      <c r="Q31" t="s">
        <v>329</v>
      </c>
      <c r="R31" t="s">
        <v>329</v>
      </c>
    </row>
    <row r="32" spans="1:18" x14ac:dyDescent="0.3">
      <c r="A32" t="s">
        <v>86</v>
      </c>
      <c r="B32" t="s">
        <v>87</v>
      </c>
      <c r="C32" t="s">
        <v>58</v>
      </c>
      <c r="D32">
        <v>36.566099999999999</v>
      </c>
      <c r="E32">
        <v>-118.77800000000001</v>
      </c>
      <c r="F32">
        <v>85.86</v>
      </c>
      <c r="G32">
        <v>72389093193</v>
      </c>
      <c r="H32" t="s">
        <v>183</v>
      </c>
      <c r="I32">
        <v>36.78</v>
      </c>
      <c r="J32">
        <v>-119.71939999999999</v>
      </c>
      <c r="K32">
        <v>101.5</v>
      </c>
      <c r="M32" t="s">
        <v>179</v>
      </c>
      <c r="N32" t="s">
        <v>179</v>
      </c>
      <c r="O32" t="s">
        <v>329</v>
      </c>
      <c r="P32" t="s">
        <v>329</v>
      </c>
      <c r="Q32" t="s">
        <v>329</v>
      </c>
      <c r="R32" t="s">
        <v>329</v>
      </c>
    </row>
    <row r="33" spans="1:18" x14ac:dyDescent="0.3">
      <c r="A33" t="s">
        <v>88</v>
      </c>
      <c r="B33" t="s">
        <v>89</v>
      </c>
      <c r="C33" t="s">
        <v>58</v>
      </c>
      <c r="D33">
        <v>36.971600000000002</v>
      </c>
      <c r="E33">
        <v>-90.143299999999996</v>
      </c>
      <c r="F33">
        <v>27.38</v>
      </c>
      <c r="G33">
        <v>72330003975</v>
      </c>
      <c r="H33" t="s">
        <v>192</v>
      </c>
      <c r="I33">
        <v>36.772500000000001</v>
      </c>
      <c r="J33">
        <v>-90.324719999999999</v>
      </c>
      <c r="K33">
        <v>99.7</v>
      </c>
      <c r="M33" t="s">
        <v>179</v>
      </c>
      <c r="N33" t="s">
        <v>179</v>
      </c>
      <c r="O33" t="s">
        <v>329</v>
      </c>
      <c r="P33" t="s">
        <v>329</v>
      </c>
      <c r="Q33" t="s">
        <v>329</v>
      </c>
      <c r="R33" t="s">
        <v>329</v>
      </c>
    </row>
    <row r="34" spans="1:18" x14ac:dyDescent="0.3">
      <c r="A34" t="s">
        <v>90</v>
      </c>
      <c r="B34" t="s">
        <v>91</v>
      </c>
      <c r="C34" t="s">
        <v>58</v>
      </c>
      <c r="D34">
        <v>68.625699999999995</v>
      </c>
      <c r="E34">
        <v>-149.6069</v>
      </c>
      <c r="F34">
        <v>8.68</v>
      </c>
      <c r="G34">
        <v>96409</v>
      </c>
      <c r="H34" t="s">
        <v>175</v>
      </c>
      <c r="I34">
        <v>68.648300000000006</v>
      </c>
      <c r="J34">
        <v>-149.39859999999999</v>
      </c>
      <c r="K34">
        <v>750.1</v>
      </c>
      <c r="M34" t="s">
        <v>179</v>
      </c>
      <c r="N34" t="s">
        <v>179</v>
      </c>
      <c r="O34" t="s">
        <v>329</v>
      </c>
      <c r="P34" t="s">
        <v>329</v>
      </c>
      <c r="Q34" t="s">
        <v>329</v>
      </c>
      <c r="R34" t="s">
        <v>329</v>
      </c>
    </row>
    <row r="35" spans="1:18" x14ac:dyDescent="0.3">
      <c r="A35" t="s">
        <v>92</v>
      </c>
      <c r="B35" s="1" t="s">
        <v>93</v>
      </c>
      <c r="C35" s="1" t="s">
        <v>83</v>
      </c>
      <c r="D35">
        <v>-46.432499999999997</v>
      </c>
      <c r="E35">
        <v>51.8566</v>
      </c>
    </row>
    <row r="36" spans="1:18" x14ac:dyDescent="0.3">
      <c r="A36" t="s">
        <v>94</v>
      </c>
      <c r="B36" s="1" t="s">
        <v>95</v>
      </c>
      <c r="C36" s="1" t="s">
        <v>83</v>
      </c>
      <c r="D36">
        <v>-21.08</v>
      </c>
      <c r="E36">
        <v>55.383000000000003</v>
      </c>
    </row>
    <row r="37" spans="1:18" x14ac:dyDescent="0.3">
      <c r="A37" t="s">
        <v>96</v>
      </c>
      <c r="B37" s="1" t="s">
        <v>97</v>
      </c>
      <c r="C37" s="1" t="s">
        <v>83</v>
      </c>
      <c r="D37">
        <v>45.772199999999998</v>
      </c>
      <c r="E37">
        <v>2.9658000000000002</v>
      </c>
    </row>
    <row r="38" spans="1:18" x14ac:dyDescent="0.3">
      <c r="A38" t="s">
        <v>98</v>
      </c>
      <c r="B38" t="s">
        <v>99</v>
      </c>
      <c r="C38" t="s">
        <v>58</v>
      </c>
      <c r="D38">
        <v>43.472000000000001</v>
      </c>
      <c r="E38">
        <v>-110.77500000000001</v>
      </c>
      <c r="M38" t="s">
        <v>189</v>
      </c>
      <c r="N38" t="s">
        <v>189</v>
      </c>
      <c r="O38" t="s">
        <v>189</v>
      </c>
      <c r="P38" t="s">
        <v>189</v>
      </c>
      <c r="Q38" t="s">
        <v>189</v>
      </c>
      <c r="R38" t="s">
        <v>189</v>
      </c>
    </row>
    <row r="39" spans="1:18" x14ac:dyDescent="0.3">
      <c r="A39" t="s">
        <v>100</v>
      </c>
      <c r="B39" t="s">
        <v>101</v>
      </c>
      <c r="C39" t="s">
        <v>58</v>
      </c>
      <c r="D39">
        <f>43+(51+53/60)/60</f>
        <v>43.86472222222222</v>
      </c>
      <c r="E39">
        <f>-(71+(38+12/60)/60)</f>
        <v>-71.63666666666667</v>
      </c>
      <c r="M39" t="s">
        <v>189</v>
      </c>
      <c r="N39" t="s">
        <v>189</v>
      </c>
      <c r="O39" t="s">
        <v>189</v>
      </c>
      <c r="P39" t="s">
        <v>189</v>
      </c>
      <c r="Q39" t="s">
        <v>189</v>
      </c>
      <c r="R39" t="s">
        <v>189</v>
      </c>
    </row>
    <row r="40" spans="1:18" x14ac:dyDescent="0.3">
      <c r="A40" t="s">
        <v>102</v>
      </c>
      <c r="B40" t="s">
        <v>103</v>
      </c>
      <c r="C40" t="s">
        <v>58</v>
      </c>
      <c r="D40">
        <f>40+(33+33/60)/60</f>
        <v>40.55916666666667</v>
      </c>
      <c r="E40">
        <f>-(105+(4+41/60)/60)</f>
        <v>-105.07805555555555</v>
      </c>
      <c r="M40" t="s">
        <v>189</v>
      </c>
      <c r="N40" t="s">
        <v>189</v>
      </c>
      <c r="O40" t="s">
        <v>189</v>
      </c>
      <c r="P40" t="s">
        <v>189</v>
      </c>
      <c r="Q40" t="s">
        <v>189</v>
      </c>
      <c r="R40" t="s">
        <v>189</v>
      </c>
    </row>
    <row r="41" spans="1:18" x14ac:dyDescent="0.3">
      <c r="A41" t="s">
        <v>104</v>
      </c>
      <c r="B41" t="s">
        <v>105</v>
      </c>
      <c r="C41" t="s">
        <v>58</v>
      </c>
      <c r="D41">
        <v>32.984299999999998</v>
      </c>
      <c r="E41">
        <v>-79.690899999999999</v>
      </c>
      <c r="G41">
        <v>74791700390</v>
      </c>
      <c r="H41" t="s">
        <v>185</v>
      </c>
      <c r="I41">
        <v>32.9</v>
      </c>
      <c r="J41">
        <v>-79.783000000000001</v>
      </c>
      <c r="K41">
        <v>4.3</v>
      </c>
      <c r="M41" t="s">
        <v>179</v>
      </c>
      <c r="N41" t="s">
        <v>179</v>
      </c>
      <c r="O41" t="s">
        <v>189</v>
      </c>
      <c r="P41" t="s">
        <v>189</v>
      </c>
      <c r="Q41" t="s">
        <v>189</v>
      </c>
      <c r="R41" t="s">
        <v>189</v>
      </c>
    </row>
    <row r="42" spans="1:18" x14ac:dyDescent="0.3">
      <c r="A42" t="s">
        <v>106</v>
      </c>
      <c r="C42" t="s">
        <v>107</v>
      </c>
    </row>
    <row r="43" spans="1:18" x14ac:dyDescent="0.3">
      <c r="A43" t="s">
        <v>108</v>
      </c>
      <c r="C43" t="s">
        <v>107</v>
      </c>
    </row>
    <row r="44" spans="1:18" x14ac:dyDescent="0.3">
      <c r="A44" t="s">
        <v>109</v>
      </c>
      <c r="C44" t="s">
        <v>107</v>
      </c>
    </row>
    <row r="45" spans="1:18" x14ac:dyDescent="0.3">
      <c r="A45" t="s">
        <v>110</v>
      </c>
      <c r="B45" s="1" t="s">
        <v>111</v>
      </c>
      <c r="C45" s="1" t="s">
        <v>112</v>
      </c>
      <c r="D45">
        <v>82.5</v>
      </c>
      <c r="E45">
        <v>-62.33</v>
      </c>
      <c r="M45" t="s">
        <v>179</v>
      </c>
      <c r="N45" t="s">
        <v>179</v>
      </c>
      <c r="O45" t="s">
        <v>179</v>
      </c>
      <c r="P45" t="s">
        <v>179</v>
      </c>
      <c r="Q45" t="s">
        <v>179</v>
      </c>
      <c r="R45" t="s">
        <v>179</v>
      </c>
    </row>
    <row r="46" spans="1:18" x14ac:dyDescent="0.3">
      <c r="A46" t="s">
        <v>113</v>
      </c>
      <c r="B46" s="1" t="s">
        <v>114</v>
      </c>
      <c r="C46" s="1" t="s">
        <v>112</v>
      </c>
      <c r="D46">
        <v>61.35</v>
      </c>
      <c r="E46">
        <v>-135.63</v>
      </c>
      <c r="M46" t="s">
        <v>179</v>
      </c>
      <c r="N46" t="s">
        <v>179</v>
      </c>
      <c r="O46" t="s">
        <v>179</v>
      </c>
      <c r="P46" t="s">
        <v>179</v>
      </c>
      <c r="Q46" t="s">
        <v>179</v>
      </c>
      <c r="R46" t="s">
        <v>179</v>
      </c>
    </row>
    <row r="47" spans="1:18" x14ac:dyDescent="0.3">
      <c r="A47" t="s">
        <v>115</v>
      </c>
      <c r="B47" s="1" t="s">
        <v>116</v>
      </c>
      <c r="C47" s="1" t="s">
        <v>112</v>
      </c>
      <c r="D47">
        <v>69.13073</v>
      </c>
      <c r="E47">
        <v>-105.0566</v>
      </c>
      <c r="M47" t="s">
        <v>179</v>
      </c>
      <c r="N47" t="s">
        <v>179</v>
      </c>
      <c r="O47" t="s">
        <v>179</v>
      </c>
      <c r="P47" t="s">
        <v>179</v>
      </c>
      <c r="Q47" t="s">
        <v>179</v>
      </c>
      <c r="R47" t="s">
        <v>179</v>
      </c>
    </row>
    <row r="48" spans="1:18" x14ac:dyDescent="0.3">
      <c r="A48" t="s">
        <v>117</v>
      </c>
      <c r="B48" s="1" t="s">
        <v>118</v>
      </c>
      <c r="C48" s="1" t="s">
        <v>112</v>
      </c>
      <c r="D48">
        <v>58.243519999999997</v>
      </c>
      <c r="E48">
        <v>-68.350679999999997</v>
      </c>
      <c r="M48" t="s">
        <v>179</v>
      </c>
      <c r="N48" t="s">
        <v>179</v>
      </c>
      <c r="O48" t="s">
        <v>179</v>
      </c>
      <c r="P48" t="s">
        <v>179</v>
      </c>
      <c r="Q48" t="s">
        <v>179</v>
      </c>
      <c r="R48" t="s">
        <v>179</v>
      </c>
    </row>
    <row r="49" spans="1:18" x14ac:dyDescent="0.3">
      <c r="A49" t="s">
        <v>119</v>
      </c>
      <c r="B49" s="1" t="s">
        <v>120</v>
      </c>
      <c r="C49" s="1" t="s">
        <v>112</v>
      </c>
      <c r="D49">
        <v>57.844700000000003</v>
      </c>
      <c r="E49">
        <v>-62.652679999999997</v>
      </c>
      <c r="M49" t="s">
        <v>179</v>
      </c>
      <c r="N49" t="s">
        <v>179</v>
      </c>
      <c r="O49" t="s">
        <v>179</v>
      </c>
      <c r="P49" t="s">
        <v>179</v>
      </c>
      <c r="Q49" t="s">
        <v>179</v>
      </c>
      <c r="R49" t="s">
        <v>179</v>
      </c>
    </row>
    <row r="50" spans="1:18" x14ac:dyDescent="0.3">
      <c r="A50" t="s">
        <v>121</v>
      </c>
      <c r="B50" s="1" t="s">
        <v>122</v>
      </c>
      <c r="C50" s="1" t="s">
        <v>112</v>
      </c>
      <c r="D50">
        <v>53.560670000000002</v>
      </c>
      <c r="E50">
        <v>-61.371110000000002</v>
      </c>
      <c r="M50" t="s">
        <v>179</v>
      </c>
      <c r="N50" t="s">
        <v>179</v>
      </c>
      <c r="O50" t="s">
        <v>179</v>
      </c>
      <c r="P50" t="s">
        <v>179</v>
      </c>
      <c r="Q50" t="s">
        <v>179</v>
      </c>
      <c r="R50" t="s">
        <v>179</v>
      </c>
    </row>
    <row r="51" spans="1:18" x14ac:dyDescent="0.3">
      <c r="A51" t="s">
        <v>123</v>
      </c>
      <c r="B51" s="1" t="s">
        <v>124</v>
      </c>
      <c r="C51" s="1" t="s">
        <v>112</v>
      </c>
      <c r="D51">
        <v>61.166670000000003</v>
      </c>
      <c r="E51">
        <v>-113.75</v>
      </c>
      <c r="M51" t="s">
        <v>179</v>
      </c>
      <c r="N51" t="s">
        <v>179</v>
      </c>
      <c r="O51" t="s">
        <v>179</v>
      </c>
      <c r="P51" t="s">
        <v>179</v>
      </c>
      <c r="Q51" t="s">
        <v>179</v>
      </c>
      <c r="R51" t="s">
        <v>179</v>
      </c>
    </row>
    <row r="52" spans="1:18" x14ac:dyDescent="0.3">
      <c r="A52" t="s">
        <v>125</v>
      </c>
      <c r="B52" s="1" t="s">
        <v>126</v>
      </c>
      <c r="C52" s="1" t="s">
        <v>112</v>
      </c>
      <c r="D52">
        <v>68.356949999999998</v>
      </c>
      <c r="E52">
        <v>-133.7139</v>
      </c>
      <c r="M52" t="s">
        <v>179</v>
      </c>
      <c r="N52" t="s">
        <v>179</v>
      </c>
      <c r="O52" t="s">
        <v>179</v>
      </c>
      <c r="P52" t="s">
        <v>179</v>
      </c>
      <c r="Q52" t="s">
        <v>179</v>
      </c>
      <c r="R52" t="s">
        <v>179</v>
      </c>
    </row>
    <row r="53" spans="1:18" x14ac:dyDescent="0.3">
      <c r="A53" t="s">
        <v>127</v>
      </c>
      <c r="B53" s="1" t="s">
        <v>128</v>
      </c>
      <c r="C53" s="1" t="s">
        <v>112</v>
      </c>
      <c r="D53">
        <v>63.740839999999999</v>
      </c>
      <c r="E53">
        <v>-68.465590000000006</v>
      </c>
      <c r="M53" t="s">
        <v>179</v>
      </c>
      <c r="N53" t="s">
        <v>179</v>
      </c>
      <c r="O53" t="s">
        <v>179</v>
      </c>
      <c r="P53" t="s">
        <v>179</v>
      </c>
      <c r="Q53" t="s">
        <v>179</v>
      </c>
      <c r="R53" t="s">
        <v>179</v>
      </c>
    </row>
    <row r="54" spans="1:18" x14ac:dyDescent="0.3">
      <c r="A54" t="s">
        <v>129</v>
      </c>
      <c r="B54" t="s">
        <v>130</v>
      </c>
      <c r="C54" t="s">
        <v>131</v>
      </c>
      <c r="D54">
        <v>5.8484056000000004</v>
      </c>
      <c r="E54">
        <v>-55.249691400000003</v>
      </c>
    </row>
    <row r="55" spans="1:18" x14ac:dyDescent="0.3">
      <c r="A55" t="s">
        <v>132</v>
      </c>
      <c r="B55" t="s">
        <v>133</v>
      </c>
      <c r="C55" t="s">
        <v>131</v>
      </c>
      <c r="D55">
        <v>3.5128553999999999</v>
      </c>
      <c r="E55">
        <v>-55.059978999999998</v>
      </c>
    </row>
    <row r="56" spans="1:18" x14ac:dyDescent="0.3">
      <c r="A56" t="s">
        <v>134</v>
      </c>
      <c r="B56" t="s">
        <v>135</v>
      </c>
      <c r="C56" t="s">
        <v>131</v>
      </c>
      <c r="D56">
        <v>3.131926</v>
      </c>
      <c r="E56">
        <v>-56.261626399999997</v>
      </c>
    </row>
    <row r="57" spans="1:18" x14ac:dyDescent="0.3">
      <c r="A57" t="s">
        <v>136</v>
      </c>
      <c r="B57" t="s">
        <v>137</v>
      </c>
      <c r="C57" t="s">
        <v>138</v>
      </c>
      <c r="D57">
        <v>10.876899999999999</v>
      </c>
      <c r="E57">
        <v>106.7975</v>
      </c>
      <c r="G57">
        <v>48900099999</v>
      </c>
      <c r="H57" t="s">
        <v>248</v>
      </c>
      <c r="I57">
        <v>10.818797</v>
      </c>
      <c r="J57">
        <v>106.651856</v>
      </c>
      <c r="K57">
        <v>10.050000000000001</v>
      </c>
      <c r="O57" t="s">
        <v>329</v>
      </c>
      <c r="P57" t="s">
        <v>329</v>
      </c>
      <c r="Q57" t="s">
        <v>329</v>
      </c>
      <c r="R57" t="s">
        <v>329</v>
      </c>
    </row>
    <row r="58" spans="1:18" x14ac:dyDescent="0.3">
      <c r="A58" t="s">
        <v>139</v>
      </c>
      <c r="B58" s="1" t="s">
        <v>140</v>
      </c>
      <c r="C58" s="1" t="s">
        <v>141</v>
      </c>
      <c r="D58">
        <v>-40.687396900000003</v>
      </c>
      <c r="E58">
        <v>144.69105719999999</v>
      </c>
      <c r="M58" t="s">
        <v>179</v>
      </c>
      <c r="N58" t="s">
        <v>179</v>
      </c>
      <c r="O58" t="s">
        <v>329</v>
      </c>
      <c r="Q58" t="s">
        <v>329</v>
      </c>
      <c r="R58" t="s">
        <v>329</v>
      </c>
    </row>
    <row r="59" spans="1:18" x14ac:dyDescent="0.3">
      <c r="A59" t="s">
        <v>142</v>
      </c>
      <c r="B59" s="1" t="s">
        <v>143</v>
      </c>
      <c r="C59" s="1" t="s">
        <v>141</v>
      </c>
      <c r="D59">
        <v>-25.033371299999999</v>
      </c>
      <c r="E59">
        <v>128.30168090000001</v>
      </c>
      <c r="M59" t="s">
        <v>179</v>
      </c>
      <c r="N59" t="s">
        <v>179</v>
      </c>
      <c r="O59" t="s">
        <v>329</v>
      </c>
      <c r="Q59" t="s">
        <v>329</v>
      </c>
      <c r="R59" t="s">
        <v>329</v>
      </c>
    </row>
    <row r="60" spans="1:18" x14ac:dyDescent="0.3">
      <c r="A60" t="s">
        <v>144</v>
      </c>
      <c r="B60" s="1" t="s">
        <v>145</v>
      </c>
      <c r="C60" s="1" t="s">
        <v>141</v>
      </c>
      <c r="D60">
        <v>-12.3720637</v>
      </c>
      <c r="E60">
        <v>130.86803829999999</v>
      </c>
      <c r="M60" t="s">
        <v>179</v>
      </c>
      <c r="N60" t="s">
        <v>179</v>
      </c>
      <c r="O60" t="s">
        <v>329</v>
      </c>
      <c r="Q60" t="s">
        <v>329</v>
      </c>
      <c r="R60" t="s">
        <v>329</v>
      </c>
    </row>
    <row r="61" spans="1:18" x14ac:dyDescent="0.3">
      <c r="A61" t="s">
        <v>146</v>
      </c>
      <c r="B61" s="1" t="s">
        <v>147</v>
      </c>
      <c r="C61" s="1" t="s">
        <v>141</v>
      </c>
      <c r="D61">
        <v>-26.696991700000002</v>
      </c>
      <c r="E61">
        <v>116.6369332</v>
      </c>
      <c r="M61" t="s">
        <v>179</v>
      </c>
      <c r="N61" t="s">
        <v>179</v>
      </c>
      <c r="O61" t="s">
        <v>329</v>
      </c>
      <c r="Q61" t="s">
        <v>329</v>
      </c>
      <c r="R61" t="s">
        <v>329</v>
      </c>
    </row>
    <row r="62" spans="1:18" x14ac:dyDescent="0.3">
      <c r="A62" t="s">
        <v>148</v>
      </c>
      <c r="B62" s="1" t="s">
        <v>149</v>
      </c>
      <c r="C62" s="1" t="s">
        <v>141</v>
      </c>
      <c r="D62">
        <v>-31.087229099999998</v>
      </c>
      <c r="E62">
        <v>141.70517269999999</v>
      </c>
      <c r="M62" t="s">
        <v>179</v>
      </c>
      <c r="N62" t="s">
        <v>179</v>
      </c>
      <c r="O62" t="s">
        <v>329</v>
      </c>
      <c r="Q62" t="s">
        <v>329</v>
      </c>
      <c r="R62" t="s">
        <v>329</v>
      </c>
    </row>
    <row r="63" spans="1:18" x14ac:dyDescent="0.3">
      <c r="A63" t="s">
        <v>150</v>
      </c>
      <c r="B63" s="1" t="s">
        <v>334</v>
      </c>
      <c r="C63" s="1" t="s">
        <v>141</v>
      </c>
      <c r="D63">
        <v>-18.614137899999999</v>
      </c>
      <c r="E63">
        <v>146.48919069999999</v>
      </c>
      <c r="M63" t="s">
        <v>179</v>
      </c>
      <c r="N63" t="s">
        <v>179</v>
      </c>
      <c r="O63" t="s">
        <v>329</v>
      </c>
      <c r="Q63" t="s">
        <v>329</v>
      </c>
      <c r="R63" t="s">
        <v>329</v>
      </c>
    </row>
    <row r="64" spans="1:18" x14ac:dyDescent="0.3">
      <c r="A64" t="s">
        <v>151</v>
      </c>
      <c r="B64" t="s">
        <v>152</v>
      </c>
      <c r="C64" t="s">
        <v>138</v>
      </c>
      <c r="D64">
        <v>21.05</v>
      </c>
      <c r="E64">
        <v>105.88</v>
      </c>
      <c r="G64">
        <v>48820099999</v>
      </c>
      <c r="H64" t="s">
        <v>249</v>
      </c>
      <c r="I64">
        <v>21.221191999999999</v>
      </c>
      <c r="J64">
        <v>105.80717799999999</v>
      </c>
      <c r="K64">
        <v>11.88</v>
      </c>
      <c r="O64" t="s">
        <v>329</v>
      </c>
      <c r="P64" t="s">
        <v>329</v>
      </c>
      <c r="Q64" t="s">
        <v>329</v>
      </c>
      <c r="R64" t="s">
        <v>329</v>
      </c>
    </row>
    <row r="65" spans="1:18" x14ac:dyDescent="0.3">
      <c r="A65" t="s">
        <v>153</v>
      </c>
      <c r="B65" s="2" t="s">
        <v>154</v>
      </c>
      <c r="C65" s="2" t="s">
        <v>154</v>
      </c>
      <c r="D65">
        <v>17.312803599999999</v>
      </c>
      <c r="E65">
        <v>-62.719651499999998</v>
      </c>
      <c r="G65">
        <v>78858099999</v>
      </c>
      <c r="H65" t="s">
        <v>341</v>
      </c>
      <c r="I65">
        <v>17.311194</v>
      </c>
      <c r="J65">
        <v>-62.718667000000003</v>
      </c>
      <c r="K65">
        <v>51.81</v>
      </c>
      <c r="M65" t="s">
        <v>329</v>
      </c>
      <c r="N65" t="s">
        <v>329</v>
      </c>
      <c r="O65" t="s">
        <v>329</v>
      </c>
      <c r="P65" t="s">
        <v>329</v>
      </c>
      <c r="Q65" t="s">
        <v>329</v>
      </c>
      <c r="R65" t="s">
        <v>329</v>
      </c>
    </row>
    <row r="66" spans="1:18" x14ac:dyDescent="0.3">
      <c r="A66" t="s">
        <v>155</v>
      </c>
      <c r="B66" s="2" t="s">
        <v>156</v>
      </c>
      <c r="C66" s="2" t="s">
        <v>154</v>
      </c>
      <c r="D66">
        <v>17.117131700000002</v>
      </c>
      <c r="E66">
        <v>-62.624623700000001</v>
      </c>
      <c r="G66">
        <v>78859099999</v>
      </c>
      <c r="H66" t="s">
        <v>342</v>
      </c>
      <c r="I66">
        <v>17.205677999999999</v>
      </c>
      <c r="J66">
        <v>-62.589869</v>
      </c>
      <c r="K66">
        <v>4.26</v>
      </c>
      <c r="M66" t="s">
        <v>329</v>
      </c>
      <c r="N66" t="s">
        <v>329</v>
      </c>
      <c r="O66" t="s">
        <v>329</v>
      </c>
      <c r="P66" t="s">
        <v>329</v>
      </c>
      <c r="Q66" t="s">
        <v>329</v>
      </c>
      <c r="R66" t="s">
        <v>329</v>
      </c>
    </row>
    <row r="67" spans="1:18" x14ac:dyDescent="0.3">
      <c r="A67" t="s">
        <v>157</v>
      </c>
      <c r="B67" s="2" t="s">
        <v>158</v>
      </c>
      <c r="C67" s="2" t="s">
        <v>159</v>
      </c>
      <c r="D67">
        <v>17.1255323</v>
      </c>
      <c r="E67">
        <v>-61.862855199999998</v>
      </c>
      <c r="G67">
        <v>78862099999</v>
      </c>
      <c r="H67" t="s">
        <v>343</v>
      </c>
      <c r="I67">
        <v>17.136748999999998</v>
      </c>
      <c r="J67">
        <v>-61.792667000000002</v>
      </c>
      <c r="K67">
        <v>18.89</v>
      </c>
      <c r="M67" t="s">
        <v>329</v>
      </c>
      <c r="N67" t="s">
        <v>329</v>
      </c>
      <c r="O67" t="s">
        <v>329</v>
      </c>
      <c r="P67" t="s">
        <v>329</v>
      </c>
      <c r="Q67" t="s">
        <v>329</v>
      </c>
      <c r="R67" t="s">
        <v>329</v>
      </c>
    </row>
    <row r="68" spans="1:18" x14ac:dyDescent="0.3">
      <c r="A68" t="s">
        <v>160</v>
      </c>
      <c r="B68" s="2" t="s">
        <v>161</v>
      </c>
      <c r="C68" s="2" t="s">
        <v>162</v>
      </c>
      <c r="D68">
        <v>10.64256</v>
      </c>
      <c r="E68">
        <v>-61.494059999999998</v>
      </c>
    </row>
    <row r="69" spans="1:18" x14ac:dyDescent="0.3">
      <c r="A69" t="s">
        <v>163</v>
      </c>
      <c r="B69" s="2" t="s">
        <v>332</v>
      </c>
      <c r="C69" s="2" t="s">
        <v>164</v>
      </c>
      <c r="D69">
        <v>-19.516389</v>
      </c>
      <c r="E69">
        <v>18.249167</v>
      </c>
      <c r="G69">
        <v>68014099999</v>
      </c>
      <c r="H69" t="s">
        <v>344</v>
      </c>
      <c r="I69">
        <v>-19.602167000000001</v>
      </c>
      <c r="J69">
        <v>18.122667</v>
      </c>
      <c r="K69">
        <v>1413.05</v>
      </c>
      <c r="M69" t="s">
        <v>329</v>
      </c>
      <c r="N69" t="s">
        <v>329</v>
      </c>
      <c r="O69" t="s">
        <v>329</v>
      </c>
      <c r="P69" t="s">
        <v>329</v>
      </c>
      <c r="Q69" t="s">
        <v>329</v>
      </c>
      <c r="R69" t="s">
        <v>329</v>
      </c>
    </row>
    <row r="70" spans="1:18" x14ac:dyDescent="0.3">
      <c r="A70" t="s">
        <v>165</v>
      </c>
      <c r="B70" s="2" t="s">
        <v>333</v>
      </c>
      <c r="C70" s="2" t="s">
        <v>164</v>
      </c>
      <c r="D70">
        <v>-19.578909899999999</v>
      </c>
      <c r="E70">
        <v>18.0826797</v>
      </c>
      <c r="H70" t="s">
        <v>344</v>
      </c>
      <c r="M70" t="s">
        <v>329</v>
      </c>
      <c r="N70" t="s">
        <v>329</v>
      </c>
      <c r="O70" t="s">
        <v>329</v>
      </c>
      <c r="P70" t="s">
        <v>329</v>
      </c>
      <c r="Q70" t="s">
        <v>329</v>
      </c>
      <c r="R70" t="s">
        <v>329</v>
      </c>
    </row>
    <row r="71" spans="1:18" x14ac:dyDescent="0.3">
      <c r="A71" t="s">
        <v>166</v>
      </c>
      <c r="B71" s="2" t="s">
        <v>167</v>
      </c>
      <c r="C71" s="2" t="s">
        <v>168</v>
      </c>
      <c r="D71">
        <v>7.3345200000000004</v>
      </c>
      <c r="E71">
        <v>-2.3256199999999998</v>
      </c>
      <c r="G71">
        <v>65439099999</v>
      </c>
      <c r="H71" t="s">
        <v>345</v>
      </c>
      <c r="I71">
        <v>7.361828</v>
      </c>
      <c r="J71">
        <v>-2.3287559999999998</v>
      </c>
      <c r="K71">
        <v>309.06</v>
      </c>
      <c r="M71" t="s">
        <v>329</v>
      </c>
      <c r="N71" t="s">
        <v>329</v>
      </c>
      <c r="O71" t="s">
        <v>329</v>
      </c>
      <c r="P71" t="s">
        <v>329</v>
      </c>
      <c r="Q71" t="s">
        <v>329</v>
      </c>
      <c r="R71" t="s">
        <v>329</v>
      </c>
    </row>
    <row r="72" spans="1:18" x14ac:dyDescent="0.3">
      <c r="A72" t="s">
        <v>169</v>
      </c>
      <c r="B72" s="2" t="s">
        <v>170</v>
      </c>
      <c r="C72" s="2" t="s">
        <v>168</v>
      </c>
      <c r="D72">
        <v>6.9843019999999996</v>
      </c>
      <c r="E72">
        <v>-2.3906800000000001</v>
      </c>
      <c r="M72" t="s">
        <v>329</v>
      </c>
      <c r="N72" t="s">
        <v>329</v>
      </c>
      <c r="O72" t="s">
        <v>329</v>
      </c>
      <c r="P72" t="s">
        <v>329</v>
      </c>
      <c r="Q72" t="s">
        <v>329</v>
      </c>
      <c r="R72" t="s">
        <v>329</v>
      </c>
    </row>
    <row r="73" spans="1:18" x14ac:dyDescent="0.3">
      <c r="A73" t="s">
        <v>171</v>
      </c>
      <c r="B73" s="2" t="s">
        <v>172</v>
      </c>
      <c r="C73" s="2" t="s">
        <v>3</v>
      </c>
      <c r="D73">
        <v>-29.583939000000001</v>
      </c>
      <c r="E73">
        <v>17.6538489</v>
      </c>
      <c r="G73">
        <v>68512099999</v>
      </c>
      <c r="H73" t="s">
        <v>346</v>
      </c>
      <c r="I73">
        <v>-29.689333000000001</v>
      </c>
      <c r="J73">
        <v>17.939610999999999</v>
      </c>
      <c r="K73">
        <v>819.91</v>
      </c>
      <c r="M73" t="s">
        <v>329</v>
      </c>
      <c r="N73" t="s">
        <v>329</v>
      </c>
      <c r="O73" t="s">
        <v>329</v>
      </c>
      <c r="P73" t="s">
        <v>329</v>
      </c>
      <c r="Q73" t="s">
        <v>329</v>
      </c>
      <c r="R73" t="s">
        <v>329</v>
      </c>
    </row>
    <row r="74" spans="1:18" x14ac:dyDescent="0.3">
      <c r="A74" t="s">
        <v>250</v>
      </c>
      <c r="B74" s="12" t="s">
        <v>251</v>
      </c>
      <c r="C74" s="12" t="s">
        <v>107</v>
      </c>
      <c r="D74">
        <v>-22.529226000000001</v>
      </c>
      <c r="E74">
        <v>27.038347900000002</v>
      </c>
      <c r="G74">
        <v>68267699999</v>
      </c>
      <c r="H74" t="s">
        <v>347</v>
      </c>
      <c r="I74">
        <v>-22.058350000000001</v>
      </c>
      <c r="J74">
        <v>27.828766999999999</v>
      </c>
      <c r="K74">
        <v>891.54</v>
      </c>
      <c r="M74" t="s">
        <v>329</v>
      </c>
      <c r="N74" t="s">
        <v>329</v>
      </c>
      <c r="O74" t="s">
        <v>329</v>
      </c>
      <c r="P74" t="s">
        <v>329</v>
      </c>
      <c r="Q74" t="s">
        <v>329</v>
      </c>
      <c r="R74" t="s">
        <v>329</v>
      </c>
    </row>
    <row r="75" spans="1:18" x14ac:dyDescent="0.3">
      <c r="A75" t="s">
        <v>252</v>
      </c>
      <c r="B75" t="s">
        <v>253</v>
      </c>
      <c r="C75" t="s">
        <v>6</v>
      </c>
      <c r="D75">
        <v>-1.006704</v>
      </c>
      <c r="E75">
        <v>34.304895999999999</v>
      </c>
      <c r="G75">
        <v>63740099999</v>
      </c>
      <c r="H75" t="s">
        <v>348</v>
      </c>
      <c r="I75">
        <v>-1.3192390000000001</v>
      </c>
      <c r="J75">
        <v>36.927774999999997</v>
      </c>
      <c r="K75">
        <v>1623.66</v>
      </c>
      <c r="M75" t="s">
        <v>329</v>
      </c>
      <c r="N75" t="s">
        <v>329</v>
      </c>
      <c r="O75" t="s">
        <v>329</v>
      </c>
      <c r="P75" t="s">
        <v>329</v>
      </c>
      <c r="Q75" t="s">
        <v>329</v>
      </c>
      <c r="R75" t="s">
        <v>329</v>
      </c>
    </row>
    <row r="76" spans="1:18" x14ac:dyDescent="0.3">
      <c r="A76" t="s">
        <v>254</v>
      </c>
      <c r="B76" s="12" t="s">
        <v>255</v>
      </c>
      <c r="C76" t="s">
        <v>107</v>
      </c>
      <c r="D76">
        <v>-19.902200000000001</v>
      </c>
      <c r="E76">
        <v>23.528300000000002</v>
      </c>
      <c r="G76">
        <v>68032099999</v>
      </c>
      <c r="H76" t="s">
        <v>349</v>
      </c>
      <c r="I76">
        <v>-19.972563999999998</v>
      </c>
      <c r="J76">
        <v>23.431086000000001</v>
      </c>
      <c r="K76">
        <v>942.74</v>
      </c>
      <c r="M76" t="s">
        <v>329</v>
      </c>
      <c r="N76" t="s">
        <v>329</v>
      </c>
      <c r="O76" t="s">
        <v>329</v>
      </c>
      <c r="P76" t="s">
        <v>329</v>
      </c>
      <c r="Q76" t="s">
        <v>329</v>
      </c>
      <c r="R76" t="s">
        <v>329</v>
      </c>
    </row>
    <row r="77" spans="1:18" x14ac:dyDescent="0.3">
      <c r="A77" t="s">
        <v>256</v>
      </c>
      <c r="B77" s="12" t="s">
        <v>257</v>
      </c>
      <c r="C77" s="12" t="s">
        <v>258</v>
      </c>
      <c r="D77">
        <v>-2.86015</v>
      </c>
      <c r="E77">
        <v>32.058732999999997</v>
      </c>
      <c r="G77">
        <v>63756099999</v>
      </c>
      <c r="H77" t="s">
        <v>350</v>
      </c>
      <c r="I77">
        <v>-2.4444859999999999</v>
      </c>
      <c r="J77">
        <v>32.932667000000002</v>
      </c>
      <c r="K77">
        <v>1146.96</v>
      </c>
      <c r="M77" t="s">
        <v>329</v>
      </c>
      <c r="N77" t="s">
        <v>329</v>
      </c>
      <c r="O77" t="s">
        <v>329</v>
      </c>
      <c r="P77" t="s">
        <v>329</v>
      </c>
      <c r="Q77" t="s">
        <v>329</v>
      </c>
      <c r="R77" t="s">
        <v>329</v>
      </c>
    </row>
    <row r="78" spans="1:18" x14ac:dyDescent="0.3">
      <c r="A78" t="s">
        <v>259</v>
      </c>
      <c r="B78" t="s">
        <v>260</v>
      </c>
      <c r="C78" t="s">
        <v>261</v>
      </c>
      <c r="D78">
        <v>47.067409939999997</v>
      </c>
      <c r="E78">
        <v>8.4633296960000006</v>
      </c>
    </row>
    <row r="79" spans="1:18" x14ac:dyDescent="0.3">
      <c r="A79" t="s">
        <v>262</v>
      </c>
      <c r="B79" t="s">
        <v>263</v>
      </c>
      <c r="C79" t="s">
        <v>261</v>
      </c>
      <c r="D79">
        <v>46.547498619999999</v>
      </c>
      <c r="E79">
        <v>7.9850712640000001</v>
      </c>
    </row>
    <row r="80" spans="1:18" x14ac:dyDescent="0.3">
      <c r="A80" t="s">
        <v>264</v>
      </c>
      <c r="B80" t="s">
        <v>265</v>
      </c>
      <c r="C80" t="s">
        <v>261</v>
      </c>
      <c r="D80">
        <v>47.049464540000002</v>
      </c>
      <c r="E80">
        <v>6.9791384570000004</v>
      </c>
    </row>
    <row r="81" spans="1:18" x14ac:dyDescent="0.3">
      <c r="A81" t="s">
        <v>266</v>
      </c>
      <c r="B81" t="s">
        <v>267</v>
      </c>
      <c r="C81" t="s">
        <v>261</v>
      </c>
      <c r="D81">
        <v>47.18961384</v>
      </c>
      <c r="E81">
        <v>8.1754336339999991</v>
      </c>
    </row>
    <row r="82" spans="1:18" x14ac:dyDescent="0.3">
      <c r="A82" t="s">
        <v>268</v>
      </c>
      <c r="B82" t="s">
        <v>269</v>
      </c>
      <c r="C82" t="s">
        <v>270</v>
      </c>
      <c r="D82">
        <v>36.048916699999999</v>
      </c>
      <c r="E82">
        <v>140.11933329999999</v>
      </c>
      <c r="G82">
        <v>47715099999</v>
      </c>
      <c r="H82" t="s">
        <v>351</v>
      </c>
      <c r="I82">
        <v>36.181083000000001</v>
      </c>
      <c r="J82">
        <v>140.41544400000001</v>
      </c>
      <c r="K82">
        <v>32</v>
      </c>
      <c r="M82" t="s">
        <v>329</v>
      </c>
      <c r="N82" t="s">
        <v>329</v>
      </c>
      <c r="O82" t="s">
        <v>329</v>
      </c>
      <c r="P82" t="s">
        <v>329</v>
      </c>
      <c r="Q82" t="s">
        <v>329</v>
      </c>
      <c r="R82" t="s">
        <v>329</v>
      </c>
    </row>
    <row r="83" spans="1:18" x14ac:dyDescent="0.3">
      <c r="A83" t="s">
        <v>271</v>
      </c>
      <c r="B83" t="s">
        <v>272</v>
      </c>
      <c r="C83" t="s">
        <v>273</v>
      </c>
      <c r="D83" s="13">
        <v>14.0089808</v>
      </c>
      <c r="E83" s="13">
        <v>-60.989676899999999</v>
      </c>
      <c r="G83">
        <v>78947000405</v>
      </c>
      <c r="H83" t="s">
        <v>357</v>
      </c>
      <c r="I83">
        <v>14.016999999999999</v>
      </c>
      <c r="J83">
        <v>-61</v>
      </c>
      <c r="K83">
        <v>2.1</v>
      </c>
      <c r="M83" t="s">
        <v>329</v>
      </c>
      <c r="N83" t="s">
        <v>329</v>
      </c>
      <c r="O83" t="s">
        <v>329</v>
      </c>
      <c r="P83" t="s">
        <v>329</v>
      </c>
      <c r="Q83" t="s">
        <v>329</v>
      </c>
      <c r="R83" t="s">
        <v>329</v>
      </c>
    </row>
    <row r="84" spans="1:18" x14ac:dyDescent="0.3">
      <c r="A84" t="s">
        <v>274</v>
      </c>
      <c r="B84" t="s">
        <v>275</v>
      </c>
      <c r="C84" t="s">
        <v>276</v>
      </c>
      <c r="D84" s="13">
        <v>47.841666699999998</v>
      </c>
      <c r="E84" s="13">
        <v>14.441666666666601</v>
      </c>
      <c r="G84">
        <v>11355099999</v>
      </c>
      <c r="H84" t="s">
        <v>358</v>
      </c>
      <c r="I84">
        <v>47.733333299999998</v>
      </c>
      <c r="J84">
        <v>14.3333333</v>
      </c>
      <c r="K84">
        <v>614</v>
      </c>
    </row>
    <row r="85" spans="1:18" x14ac:dyDescent="0.3">
      <c r="A85" t="s">
        <v>277</v>
      </c>
      <c r="B85" t="s">
        <v>278</v>
      </c>
      <c r="C85" t="s">
        <v>64</v>
      </c>
      <c r="D85" s="13">
        <v>43.159219999999998</v>
      </c>
      <c r="E85" s="13">
        <v>-1.633804</v>
      </c>
      <c r="G85">
        <v>8085099999</v>
      </c>
      <c r="H85" t="s">
        <v>359</v>
      </c>
      <c r="I85">
        <v>42.770038999999997</v>
      </c>
      <c r="J85">
        <v>-1.646331</v>
      </c>
      <c r="K85">
        <v>458.41</v>
      </c>
      <c r="Q85" t="s">
        <v>329</v>
      </c>
      <c r="R85" t="s">
        <v>329</v>
      </c>
    </row>
    <row r="86" spans="1:18" x14ac:dyDescent="0.3">
      <c r="A86" t="s">
        <v>279</v>
      </c>
      <c r="B86" t="s">
        <v>280</v>
      </c>
      <c r="C86" t="s">
        <v>49</v>
      </c>
      <c r="D86" s="13">
        <v>58.388611099999999</v>
      </c>
      <c r="E86" s="13">
        <v>8.2519444444444403</v>
      </c>
      <c r="G86">
        <v>1452099999</v>
      </c>
      <c r="H86" t="s">
        <v>360</v>
      </c>
      <c r="I86">
        <v>58.204214</v>
      </c>
      <c r="J86">
        <v>8.085369</v>
      </c>
      <c r="K86">
        <v>17.37</v>
      </c>
      <c r="Q86" t="s">
        <v>329</v>
      </c>
      <c r="R86" t="s">
        <v>329</v>
      </c>
    </row>
    <row r="87" spans="1:18" x14ac:dyDescent="0.3">
      <c r="A87" t="s">
        <v>281</v>
      </c>
      <c r="B87" t="s">
        <v>282</v>
      </c>
      <c r="C87" t="s">
        <v>283</v>
      </c>
      <c r="D87" s="13">
        <v>55.457625</v>
      </c>
      <c r="E87" s="13">
        <v>26.026457000000001</v>
      </c>
      <c r="G87">
        <v>26633099999</v>
      </c>
      <c r="H87" t="s">
        <v>361</v>
      </c>
      <c r="I87">
        <v>55.516666600000001</v>
      </c>
      <c r="J87">
        <v>25.5833333</v>
      </c>
      <c r="K87">
        <v>105.69</v>
      </c>
      <c r="Q87" t="s">
        <v>329</v>
      </c>
      <c r="R87" t="s">
        <v>329</v>
      </c>
    </row>
    <row r="88" spans="1:18" x14ac:dyDescent="0.3">
      <c r="A88" t="s">
        <v>284</v>
      </c>
      <c r="B88" t="s">
        <v>285</v>
      </c>
      <c r="C88" t="s">
        <v>283</v>
      </c>
      <c r="D88" s="13">
        <v>55.348162000000002</v>
      </c>
      <c r="E88" s="13">
        <v>21.021227</v>
      </c>
      <c r="G88">
        <v>26509099999</v>
      </c>
      <c r="H88" t="s">
        <v>362</v>
      </c>
      <c r="I88">
        <v>55.733333299999998</v>
      </c>
      <c r="J88">
        <v>21.0833333</v>
      </c>
      <c r="K88">
        <v>7.26</v>
      </c>
      <c r="Q88" t="s">
        <v>329</v>
      </c>
      <c r="R88" t="s">
        <v>329</v>
      </c>
    </row>
    <row r="89" spans="1:18" x14ac:dyDescent="0.3">
      <c r="A89" t="s">
        <v>286</v>
      </c>
      <c r="B89" s="12" t="s">
        <v>287</v>
      </c>
      <c r="C89" t="s">
        <v>283</v>
      </c>
      <c r="D89" s="14">
        <v>54.079645999999997</v>
      </c>
      <c r="E89" s="14" t="s">
        <v>335</v>
      </c>
      <c r="G89">
        <v>26729099999</v>
      </c>
      <c r="H89" t="s">
        <v>363</v>
      </c>
      <c r="I89">
        <v>54.416666599999999</v>
      </c>
      <c r="J89">
        <v>24.066666600000001</v>
      </c>
      <c r="K89">
        <v>93</v>
      </c>
      <c r="Q89" t="s">
        <v>329</v>
      </c>
      <c r="R89" t="s">
        <v>329</v>
      </c>
    </row>
    <row r="90" spans="1:18" x14ac:dyDescent="0.3">
      <c r="A90" t="s">
        <v>288</v>
      </c>
      <c r="B90" s="12" t="s">
        <v>289</v>
      </c>
      <c r="C90" t="s">
        <v>283</v>
      </c>
      <c r="D90" s="14">
        <v>56.010570999999999</v>
      </c>
      <c r="E90" s="14">
        <v>21.872613000000001</v>
      </c>
      <c r="G90">
        <v>26406099999</v>
      </c>
      <c r="H90" t="s">
        <v>364</v>
      </c>
      <c r="I90">
        <v>56.517499999999998</v>
      </c>
      <c r="J90">
        <v>21.096944000000001</v>
      </c>
      <c r="K90">
        <v>4.87</v>
      </c>
      <c r="Q90" t="s">
        <v>329</v>
      </c>
      <c r="R90" t="s">
        <v>329</v>
      </c>
    </row>
    <row r="91" spans="1:18" x14ac:dyDescent="0.3">
      <c r="A91" t="s">
        <v>290</v>
      </c>
      <c r="B91" s="12" t="s">
        <v>291</v>
      </c>
      <c r="C91" t="s">
        <v>292</v>
      </c>
      <c r="D91" s="14">
        <v>54.124819000000002</v>
      </c>
      <c r="E91" s="14">
        <v>22.038056000000001</v>
      </c>
      <c r="G91">
        <v>12195099999</v>
      </c>
      <c r="H91" t="s">
        <v>365</v>
      </c>
      <c r="I91">
        <v>54.133333299999997</v>
      </c>
      <c r="J91">
        <v>22.95</v>
      </c>
      <c r="K91">
        <v>186</v>
      </c>
      <c r="Q91" t="s">
        <v>329</v>
      </c>
      <c r="R91" t="s">
        <v>329</v>
      </c>
    </row>
    <row r="92" spans="1:18" x14ac:dyDescent="0.3">
      <c r="A92" t="s">
        <v>293</v>
      </c>
      <c r="B92" t="s">
        <v>294</v>
      </c>
      <c r="C92" t="s">
        <v>295</v>
      </c>
      <c r="D92" s="14">
        <v>57.113570000000003</v>
      </c>
      <c r="E92" s="14">
        <v>14.5512</v>
      </c>
      <c r="G92">
        <v>2641099999</v>
      </c>
      <c r="H92" t="s">
        <v>366</v>
      </c>
      <c r="I92">
        <v>56.929144000000001</v>
      </c>
      <c r="J92">
        <v>14.727994000000001</v>
      </c>
      <c r="K92">
        <v>185.92</v>
      </c>
      <c r="Q92" t="s">
        <v>329</v>
      </c>
      <c r="R92" t="s">
        <v>329</v>
      </c>
    </row>
    <row r="93" spans="1:18" x14ac:dyDescent="0.3">
      <c r="A93" t="s">
        <v>296</v>
      </c>
      <c r="B93" t="s">
        <v>297</v>
      </c>
      <c r="C93" t="s">
        <v>295</v>
      </c>
      <c r="D93" s="14">
        <v>59.753799999999998</v>
      </c>
      <c r="E93" s="14">
        <v>14.9055</v>
      </c>
      <c r="G93">
        <v>2431099999</v>
      </c>
      <c r="H93" t="s">
        <v>367</v>
      </c>
      <c r="I93">
        <v>59.866666600000002</v>
      </c>
      <c r="J93">
        <v>15.25</v>
      </c>
      <c r="K93">
        <v>289</v>
      </c>
      <c r="Q93" t="s">
        <v>329</v>
      </c>
      <c r="R93" t="s">
        <v>329</v>
      </c>
    </row>
    <row r="94" spans="1:18" x14ac:dyDescent="0.3">
      <c r="A94" t="s">
        <v>298</v>
      </c>
      <c r="B94" t="s">
        <v>299</v>
      </c>
      <c r="C94" t="s">
        <v>295</v>
      </c>
      <c r="D94" s="14">
        <v>63.859099999999998</v>
      </c>
      <c r="E94" s="14">
        <v>18.108599999999999</v>
      </c>
      <c r="G94">
        <v>2265099999</v>
      </c>
      <c r="H94" t="s">
        <v>368</v>
      </c>
      <c r="I94">
        <v>63.65</v>
      </c>
      <c r="J94">
        <v>18.55</v>
      </c>
      <c r="K94">
        <v>183</v>
      </c>
      <c r="Q94" t="s">
        <v>329</v>
      </c>
      <c r="R94" t="s">
        <v>329</v>
      </c>
    </row>
    <row r="95" spans="1:18" x14ac:dyDescent="0.3">
      <c r="A95" t="s">
        <v>300</v>
      </c>
      <c r="B95" t="s">
        <v>301</v>
      </c>
      <c r="C95" t="s">
        <v>295</v>
      </c>
      <c r="D95" s="14">
        <v>58.054099999999998</v>
      </c>
      <c r="E95" s="14">
        <v>12.0213</v>
      </c>
      <c r="G95">
        <v>2512099999</v>
      </c>
      <c r="H95" t="s">
        <v>369</v>
      </c>
      <c r="I95">
        <v>57.774721999999997</v>
      </c>
      <c r="J95">
        <v>11.870372</v>
      </c>
      <c r="K95">
        <v>17.98</v>
      </c>
      <c r="Q95" t="s">
        <v>329</v>
      </c>
      <c r="R95" t="s">
        <v>329</v>
      </c>
    </row>
    <row r="96" spans="1:18" x14ac:dyDescent="0.3">
      <c r="A96" t="s">
        <v>302</v>
      </c>
      <c r="B96" t="s">
        <v>303</v>
      </c>
      <c r="C96" t="s">
        <v>304</v>
      </c>
      <c r="D96" s="14">
        <v>54.436985</v>
      </c>
      <c r="E96" s="14">
        <v>12.721938</v>
      </c>
      <c r="G96">
        <v>6149099999</v>
      </c>
      <c r="H96" t="s">
        <v>370</v>
      </c>
      <c r="I96">
        <v>54.566666599999998</v>
      </c>
      <c r="J96">
        <v>11.95</v>
      </c>
      <c r="K96">
        <v>5</v>
      </c>
      <c r="Q96" t="s">
        <v>329</v>
      </c>
      <c r="R96" t="s">
        <v>329</v>
      </c>
    </row>
    <row r="97" spans="1:18" x14ac:dyDescent="0.3">
      <c r="A97" t="s">
        <v>305</v>
      </c>
      <c r="B97" t="s">
        <v>306</v>
      </c>
      <c r="C97" t="s">
        <v>304</v>
      </c>
      <c r="D97" s="14">
        <v>52.800773</v>
      </c>
      <c r="E97" s="14">
        <v>10.756733000000001</v>
      </c>
      <c r="G97">
        <v>10343099999</v>
      </c>
      <c r="H97" t="s">
        <v>371</v>
      </c>
      <c r="I97">
        <v>52.591200000000001</v>
      </c>
      <c r="J97">
        <v>10.022133</v>
      </c>
      <c r="K97">
        <v>39.31</v>
      </c>
      <c r="Q97" t="s">
        <v>329</v>
      </c>
      <c r="R97" t="s">
        <v>329</v>
      </c>
    </row>
    <row r="98" spans="1:18" x14ac:dyDescent="0.3">
      <c r="A98" t="s">
        <v>307</v>
      </c>
      <c r="B98" t="s">
        <v>308</v>
      </c>
      <c r="C98" t="s">
        <v>304</v>
      </c>
      <c r="D98" s="14">
        <v>53.138562899999997</v>
      </c>
      <c r="E98" s="14">
        <v>13.0487167</v>
      </c>
      <c r="M98" t="s">
        <v>372</v>
      </c>
      <c r="N98" t="s">
        <v>372</v>
      </c>
      <c r="O98" t="s">
        <v>372</v>
      </c>
      <c r="P98" t="s">
        <v>372</v>
      </c>
      <c r="Q98" t="s">
        <v>372</v>
      </c>
      <c r="R98" t="s">
        <v>372</v>
      </c>
    </row>
    <row r="99" spans="1:18" x14ac:dyDescent="0.3">
      <c r="A99" t="s">
        <v>309</v>
      </c>
      <c r="B99" t="s">
        <v>310</v>
      </c>
      <c r="C99" t="s">
        <v>292</v>
      </c>
      <c r="D99" s="14">
        <v>50.862324999999998</v>
      </c>
      <c r="E99" s="14">
        <v>21.052987999999999</v>
      </c>
      <c r="G99">
        <v>12570099999</v>
      </c>
      <c r="H99" t="s">
        <v>373</v>
      </c>
      <c r="I99">
        <v>50.816666599999998</v>
      </c>
      <c r="J99">
        <v>20.7</v>
      </c>
      <c r="K99">
        <v>261</v>
      </c>
      <c r="Q99" t="s">
        <v>329</v>
      </c>
      <c r="R99" t="s">
        <v>329</v>
      </c>
    </row>
    <row r="100" spans="1:18" x14ac:dyDescent="0.3">
      <c r="A100" t="s">
        <v>311</v>
      </c>
      <c r="B100" t="s">
        <v>312</v>
      </c>
      <c r="C100" t="s">
        <v>292</v>
      </c>
      <c r="D100" s="13">
        <v>49.635294399999999</v>
      </c>
      <c r="E100" s="13">
        <v>21.116658333333302</v>
      </c>
      <c r="G100">
        <v>12660099999</v>
      </c>
      <c r="H100" t="s">
        <v>374</v>
      </c>
      <c r="I100">
        <v>49.616666600000002</v>
      </c>
      <c r="J100">
        <v>20.7</v>
      </c>
      <c r="K100">
        <v>295</v>
      </c>
      <c r="Q100" t="s">
        <v>329</v>
      </c>
      <c r="R100" t="s">
        <v>329</v>
      </c>
    </row>
    <row r="101" spans="1:18" x14ac:dyDescent="0.3">
      <c r="A101" t="s">
        <v>313</v>
      </c>
      <c r="B101" t="s">
        <v>314</v>
      </c>
      <c r="C101" t="s">
        <v>292</v>
      </c>
      <c r="D101" s="13">
        <v>50.554805559999998</v>
      </c>
      <c r="E101" s="13">
        <v>22.988138889999998</v>
      </c>
      <c r="G101">
        <v>12595099999</v>
      </c>
      <c r="H101" t="s">
        <v>375</v>
      </c>
      <c r="I101">
        <v>50.7</v>
      </c>
      <c r="J101">
        <v>23.25</v>
      </c>
      <c r="K101">
        <v>213</v>
      </c>
      <c r="Q101" t="s">
        <v>329</v>
      </c>
      <c r="R101" t="s">
        <v>329</v>
      </c>
    </row>
    <row r="102" spans="1:18" x14ac:dyDescent="0.3">
      <c r="A102" t="s">
        <v>315</v>
      </c>
      <c r="B102" t="s">
        <v>316</v>
      </c>
      <c r="C102" t="s">
        <v>292</v>
      </c>
      <c r="D102" s="13">
        <v>52.286111099999999</v>
      </c>
      <c r="E102" s="13">
        <v>20.454444444444398</v>
      </c>
      <c r="G102">
        <v>12105199999</v>
      </c>
      <c r="H102" t="s">
        <v>376</v>
      </c>
      <c r="I102">
        <v>52.268493999999997</v>
      </c>
      <c r="J102">
        <v>20.911047</v>
      </c>
      <c r="K102">
        <v>107.28</v>
      </c>
      <c r="Q102" t="s">
        <v>329</v>
      </c>
      <c r="R102" t="s">
        <v>329</v>
      </c>
    </row>
    <row r="103" spans="1:18" x14ac:dyDescent="0.3">
      <c r="A103" t="s">
        <v>317</v>
      </c>
      <c r="B103" t="s">
        <v>318</v>
      </c>
      <c r="C103" t="s">
        <v>292</v>
      </c>
      <c r="D103" s="13">
        <v>53.08</v>
      </c>
      <c r="E103" s="13">
        <v>18.68</v>
      </c>
      <c r="G103">
        <v>12250099999</v>
      </c>
      <c r="H103" t="s">
        <v>377</v>
      </c>
      <c r="I103">
        <v>53.05</v>
      </c>
      <c r="J103">
        <v>18.5833333</v>
      </c>
      <c r="K103">
        <v>72</v>
      </c>
      <c r="Q103" t="s">
        <v>329</v>
      </c>
      <c r="R103" t="s">
        <v>329</v>
      </c>
    </row>
    <row r="104" spans="1:18" x14ac:dyDescent="0.3">
      <c r="A104" t="s">
        <v>319</v>
      </c>
      <c r="B104" t="s">
        <v>320</v>
      </c>
      <c r="C104" t="s">
        <v>292</v>
      </c>
      <c r="D104" s="13">
        <v>54.060853999999999</v>
      </c>
      <c r="E104" s="13">
        <v>23.0135121</v>
      </c>
      <c r="G104">
        <v>12195099999</v>
      </c>
      <c r="H104" t="s">
        <v>365</v>
      </c>
      <c r="I104">
        <v>54.133333299999997</v>
      </c>
      <c r="J104">
        <v>22.95</v>
      </c>
      <c r="K104">
        <v>186</v>
      </c>
      <c r="Q104" t="s">
        <v>329</v>
      </c>
      <c r="R104" t="s">
        <v>329</v>
      </c>
    </row>
    <row r="105" spans="1:18" x14ac:dyDescent="0.3">
      <c r="A105" t="s">
        <v>321</v>
      </c>
      <c r="B105" t="s">
        <v>322</v>
      </c>
      <c r="C105" t="s">
        <v>292</v>
      </c>
      <c r="D105" s="13">
        <v>52.4641667</v>
      </c>
      <c r="E105" s="13">
        <v>16.942222222222199</v>
      </c>
      <c r="G105">
        <v>12330099999</v>
      </c>
      <c r="H105" t="s">
        <v>378</v>
      </c>
      <c r="I105">
        <v>52.421030999999999</v>
      </c>
      <c r="J105">
        <v>16.826325000000001</v>
      </c>
      <c r="K105">
        <v>93.87</v>
      </c>
      <c r="Q105" t="s">
        <v>329</v>
      </c>
      <c r="R105" t="s">
        <v>329</v>
      </c>
    </row>
    <row r="106" spans="1:18" x14ac:dyDescent="0.3">
      <c r="A106" t="s">
        <v>323</v>
      </c>
      <c r="B106" t="s">
        <v>324</v>
      </c>
      <c r="C106" t="s">
        <v>292</v>
      </c>
      <c r="D106" s="13">
        <v>53.9469444</v>
      </c>
      <c r="E106" s="13">
        <v>14.4755555555555</v>
      </c>
      <c r="G106">
        <v>12200099999</v>
      </c>
      <c r="H106" t="s">
        <v>379</v>
      </c>
      <c r="I106">
        <v>53.916666599999999</v>
      </c>
      <c r="J106">
        <v>14.2333333</v>
      </c>
      <c r="K106">
        <v>5</v>
      </c>
      <c r="Q106" t="s">
        <v>329</v>
      </c>
      <c r="R106" t="s">
        <v>329</v>
      </c>
    </row>
    <row r="107" spans="1:18" x14ac:dyDescent="0.3">
      <c r="A107" t="s">
        <v>325</v>
      </c>
      <c r="B107" t="s">
        <v>326</v>
      </c>
      <c r="C107" t="s">
        <v>292</v>
      </c>
      <c r="D107" s="13">
        <v>50.790743999999997</v>
      </c>
      <c r="E107" s="13">
        <v>15.512093999999999</v>
      </c>
      <c r="G107">
        <v>12510099999</v>
      </c>
      <c r="H107" t="s">
        <v>380</v>
      </c>
      <c r="I107">
        <v>50.733333299999998</v>
      </c>
      <c r="J107">
        <v>15.7333333</v>
      </c>
      <c r="K107">
        <v>1613</v>
      </c>
      <c r="Q107" t="s">
        <v>329</v>
      </c>
      <c r="R107" t="s">
        <v>329</v>
      </c>
    </row>
    <row r="108" spans="1:18" x14ac:dyDescent="0.3">
      <c r="A108" t="s">
        <v>327</v>
      </c>
      <c r="B108" t="s">
        <v>328</v>
      </c>
      <c r="C108" t="s">
        <v>292</v>
      </c>
      <c r="D108" s="13">
        <v>53.779091700000002</v>
      </c>
      <c r="E108" s="13">
        <v>16.497497222222201</v>
      </c>
      <c r="G108">
        <v>12235099999</v>
      </c>
      <c r="H108" t="s">
        <v>381</v>
      </c>
      <c r="I108">
        <v>53.716666600000003</v>
      </c>
      <c r="J108">
        <v>17.55</v>
      </c>
      <c r="K108">
        <v>172</v>
      </c>
      <c r="Q108" t="s">
        <v>329</v>
      </c>
      <c r="R108" t="s">
        <v>329</v>
      </c>
    </row>
  </sheetData>
  <hyperlinks>
    <hyperlink ref="H19" r:id="rId1" display="https://www.ncei.noaa.gov/data/global-hourly/access/2021/02882099999.csv" xr:uid="{48E4CB72-7943-4156-BF37-720DE5BACB99}"/>
  </hyperlinks>
  <pageMargins left="0.7" right="0.7" top="0.75" bottom="0.75" header="0.3" footer="0.3"/>
  <pageSetup orientation="portrait" verticalDpi="0" r:id="rId2"/>
  <customProperties>
    <customPr name="EpmWorksheetKeyString_GUID" r:id="rId3"/>
  </customProperties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workbookViewId="0">
      <selection activeCell="B34" sqref="B34:C34"/>
    </sheetView>
  </sheetViews>
  <sheetFormatPr defaultRowHeight="14.4" x14ac:dyDescent="0.3"/>
  <sheetData>
    <row r="1" spans="1:12" x14ac:dyDescent="0.3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</row>
    <row r="2" spans="1:12" x14ac:dyDescent="0.3">
      <c r="A2" t="s">
        <v>1</v>
      </c>
      <c r="B2" t="s">
        <v>2</v>
      </c>
      <c r="C2" t="s">
        <v>3</v>
      </c>
      <c r="D2" t="s">
        <v>207</v>
      </c>
      <c r="E2">
        <v>-30.665003484726789</v>
      </c>
      <c r="F2">
        <v>23.993001247379588</v>
      </c>
      <c r="G2" t="s">
        <v>208</v>
      </c>
      <c r="H2">
        <v>685380</v>
      </c>
      <c r="I2">
        <v>-30.6666667</v>
      </c>
      <c r="J2">
        <v>24.016666699999998</v>
      </c>
      <c r="K2" t="s">
        <v>0</v>
      </c>
      <c r="L2">
        <v>2.29</v>
      </c>
    </row>
    <row r="3" spans="1:12" x14ac:dyDescent="0.3">
      <c r="A3" s="4" t="s">
        <v>4</v>
      </c>
      <c r="B3" t="s">
        <v>209</v>
      </c>
      <c r="C3" t="s">
        <v>6</v>
      </c>
      <c r="D3" t="s">
        <v>207</v>
      </c>
      <c r="E3">
        <v>-6.2200000670015423E-2</v>
      </c>
      <c r="F3">
        <v>37.297199376529768</v>
      </c>
      <c r="G3" t="s">
        <v>208</v>
      </c>
      <c r="H3">
        <v>636950</v>
      </c>
      <c r="I3">
        <v>8.3333299999999999E-2</v>
      </c>
      <c r="J3">
        <v>37.65</v>
      </c>
      <c r="K3" t="s">
        <v>173</v>
      </c>
      <c r="L3">
        <v>42.33</v>
      </c>
    </row>
    <row r="4" spans="1:12" x14ac:dyDescent="0.3">
      <c r="A4" t="s">
        <v>7</v>
      </c>
      <c r="B4" t="s">
        <v>210</v>
      </c>
      <c r="C4" t="s">
        <v>211</v>
      </c>
      <c r="D4" t="s">
        <v>207</v>
      </c>
      <c r="E4">
        <v>6.5177310000000004</v>
      </c>
      <c r="F4">
        <v>3.3726180000000001</v>
      </c>
      <c r="G4" t="s">
        <v>208</v>
      </c>
      <c r="L4">
        <v>0</v>
      </c>
    </row>
    <row r="5" spans="1:12" x14ac:dyDescent="0.3">
      <c r="A5" t="s">
        <v>13</v>
      </c>
      <c r="B5" t="s">
        <v>14</v>
      </c>
      <c r="C5" t="s">
        <v>3</v>
      </c>
      <c r="D5" t="s">
        <v>207</v>
      </c>
      <c r="E5">
        <v>-34.35</v>
      </c>
      <c r="F5">
        <v>18.483332999999998</v>
      </c>
      <c r="G5" t="s">
        <v>208</v>
      </c>
      <c r="H5">
        <v>689160</v>
      </c>
      <c r="I5">
        <v>-34.35</v>
      </c>
      <c r="J5">
        <v>18.5</v>
      </c>
      <c r="K5" t="s">
        <v>174</v>
      </c>
      <c r="L5">
        <v>0.59</v>
      </c>
    </row>
    <row r="6" spans="1:12" x14ac:dyDescent="0.3">
      <c r="A6" s="5" t="s">
        <v>15</v>
      </c>
      <c r="B6" t="s">
        <v>212</v>
      </c>
      <c r="C6" t="s">
        <v>17</v>
      </c>
      <c r="D6" t="s">
        <v>213</v>
      </c>
      <c r="E6">
        <v>29.97883300018599</v>
      </c>
      <c r="F6">
        <v>47.706333333353179</v>
      </c>
      <c r="G6" t="s">
        <v>208</v>
      </c>
      <c r="H6">
        <v>405820</v>
      </c>
      <c r="I6">
        <v>29.226566999999999</v>
      </c>
      <c r="J6">
        <v>47.968927999999998</v>
      </c>
      <c r="K6" t="s">
        <v>180</v>
      </c>
      <c r="L6">
        <v>87.62</v>
      </c>
    </row>
    <row r="7" spans="1:12" x14ac:dyDescent="0.3">
      <c r="A7" s="6" t="s">
        <v>18</v>
      </c>
      <c r="B7" s="6" t="s">
        <v>214</v>
      </c>
      <c r="C7" s="6" t="s">
        <v>20</v>
      </c>
      <c r="D7" s="6" t="s">
        <v>213</v>
      </c>
      <c r="E7" s="6">
        <v>7.5218800000000003</v>
      </c>
      <c r="F7" s="6">
        <v>80.952994000000004</v>
      </c>
      <c r="G7" s="6" t="s">
        <v>208</v>
      </c>
      <c r="H7" s="6">
        <v>434440</v>
      </c>
      <c r="I7" s="6">
        <v>7.3333332999999996</v>
      </c>
      <c r="J7" s="6">
        <v>80.633333300000004</v>
      </c>
      <c r="K7" s="6" t="s">
        <v>181</v>
      </c>
      <c r="L7" s="6">
        <v>41.07</v>
      </c>
    </row>
    <row r="8" spans="1:12" x14ac:dyDescent="0.3">
      <c r="A8" t="s">
        <v>21</v>
      </c>
      <c r="B8" t="s">
        <v>215</v>
      </c>
      <c r="C8" t="s">
        <v>23</v>
      </c>
      <c r="D8" t="s">
        <v>213</v>
      </c>
      <c r="E8">
        <v>6.7763</v>
      </c>
      <c r="F8">
        <v>73.183300000000003</v>
      </c>
      <c r="G8" t="s">
        <v>208</v>
      </c>
      <c r="H8">
        <v>435330</v>
      </c>
      <c r="I8">
        <v>6.7333333</v>
      </c>
      <c r="J8">
        <v>73.166666599999999</v>
      </c>
      <c r="K8" t="s">
        <v>182</v>
      </c>
      <c r="L8">
        <v>4.55</v>
      </c>
    </row>
    <row r="9" spans="1:12" x14ac:dyDescent="0.3">
      <c r="A9" t="s">
        <v>24</v>
      </c>
      <c r="B9" t="s">
        <v>216</v>
      </c>
      <c r="C9" t="s">
        <v>26</v>
      </c>
      <c r="D9" t="s">
        <v>217</v>
      </c>
      <c r="E9">
        <v>49.583565910030657</v>
      </c>
      <c r="F9">
        <v>15.0837248468391</v>
      </c>
      <c r="G9" t="s">
        <v>208</v>
      </c>
      <c r="H9">
        <v>116280</v>
      </c>
      <c r="I9">
        <v>49.566666599999998</v>
      </c>
      <c r="J9">
        <v>15.0833333</v>
      </c>
      <c r="K9" t="s">
        <v>184</v>
      </c>
      <c r="L9">
        <v>1.88</v>
      </c>
    </row>
    <row r="10" spans="1:12" x14ac:dyDescent="0.3">
      <c r="A10" t="s">
        <v>27</v>
      </c>
      <c r="B10" t="s">
        <v>218</v>
      </c>
      <c r="C10" t="s">
        <v>29</v>
      </c>
      <c r="D10" t="s">
        <v>219</v>
      </c>
      <c r="E10">
        <v>9.6957328184841298</v>
      </c>
      <c r="F10">
        <v>-83.865354092821718</v>
      </c>
      <c r="G10" t="s">
        <v>208</v>
      </c>
      <c r="L10">
        <v>0</v>
      </c>
    </row>
    <row r="11" spans="1:12" x14ac:dyDescent="0.3">
      <c r="A11" t="s">
        <v>30</v>
      </c>
      <c r="B11" t="s">
        <v>31</v>
      </c>
      <c r="C11" t="s">
        <v>220</v>
      </c>
      <c r="D11" t="s">
        <v>221</v>
      </c>
      <c r="E11">
        <v>7.0128472222222218</v>
      </c>
      <c r="F11">
        <v>-70.743397999999999</v>
      </c>
      <c r="G11" t="s">
        <v>208</v>
      </c>
      <c r="H11">
        <v>800990</v>
      </c>
      <c r="I11">
        <v>7.0688810000000002</v>
      </c>
      <c r="J11">
        <v>-70.736924999999999</v>
      </c>
      <c r="K11" t="s">
        <v>186</v>
      </c>
      <c r="L11">
        <v>6.26</v>
      </c>
    </row>
    <row r="12" spans="1:12" x14ac:dyDescent="0.3">
      <c r="A12" t="s">
        <v>33</v>
      </c>
      <c r="B12" t="s">
        <v>222</v>
      </c>
      <c r="C12" t="s">
        <v>35</v>
      </c>
      <c r="D12" t="s">
        <v>219</v>
      </c>
      <c r="E12">
        <v>13.165051376925639</v>
      </c>
      <c r="F12">
        <v>-59.432150786018717</v>
      </c>
      <c r="G12" t="s">
        <v>208</v>
      </c>
      <c r="I12">
        <v>13.067</v>
      </c>
      <c r="J12">
        <v>-59.482999999999997</v>
      </c>
      <c r="K12" t="s">
        <v>187</v>
      </c>
      <c r="L12">
        <v>11.36</v>
      </c>
    </row>
    <row r="13" spans="1:12" x14ac:dyDescent="0.3">
      <c r="A13" t="s">
        <v>36</v>
      </c>
      <c r="B13" t="s">
        <v>223</v>
      </c>
      <c r="C13" t="s">
        <v>38</v>
      </c>
      <c r="D13" t="s">
        <v>221</v>
      </c>
      <c r="E13">
        <v>-0.97845768903379016</v>
      </c>
      <c r="F13">
        <v>-89.359129486434838</v>
      </c>
      <c r="G13" t="s">
        <v>208</v>
      </c>
      <c r="L13">
        <v>0</v>
      </c>
    </row>
    <row r="14" spans="1:12" x14ac:dyDescent="0.3">
      <c r="A14" s="5" t="s">
        <v>39</v>
      </c>
      <c r="B14" t="s">
        <v>40</v>
      </c>
      <c r="C14" t="s">
        <v>41</v>
      </c>
      <c r="D14" t="s">
        <v>219</v>
      </c>
      <c r="E14">
        <v>27.127307931512249</v>
      </c>
      <c r="F14">
        <v>-109.84047077858141</v>
      </c>
      <c r="G14" t="s">
        <v>208</v>
      </c>
      <c r="H14">
        <v>762560</v>
      </c>
      <c r="I14">
        <v>27.95</v>
      </c>
      <c r="J14">
        <v>-110.76666659999999</v>
      </c>
      <c r="K14" t="s">
        <v>188</v>
      </c>
      <c r="L14">
        <v>125.25</v>
      </c>
    </row>
    <row r="15" spans="1:12" x14ac:dyDescent="0.3">
      <c r="A15" s="5" t="s">
        <v>42</v>
      </c>
      <c r="B15" t="s">
        <v>224</v>
      </c>
      <c r="C15" t="s">
        <v>41</v>
      </c>
      <c r="D15" t="s">
        <v>219</v>
      </c>
      <c r="E15">
        <v>20.859200787164689</v>
      </c>
      <c r="F15">
        <v>-90.392400019074429</v>
      </c>
      <c r="G15" t="s">
        <v>208</v>
      </c>
      <c r="H15">
        <v>766440</v>
      </c>
      <c r="I15">
        <v>20.936980999999999</v>
      </c>
      <c r="J15">
        <v>-89.657672000000005</v>
      </c>
      <c r="K15" t="s">
        <v>225</v>
      </c>
      <c r="L15">
        <v>77.16</v>
      </c>
    </row>
    <row r="16" spans="1:12" x14ac:dyDescent="0.3">
      <c r="A16" t="s">
        <v>44</v>
      </c>
      <c r="B16" t="s">
        <v>45</v>
      </c>
      <c r="C16" t="s">
        <v>46</v>
      </c>
      <c r="D16" t="s">
        <v>219</v>
      </c>
      <c r="E16">
        <v>32.366667000020762</v>
      </c>
      <c r="F16">
        <v>-64.650000000137055</v>
      </c>
      <c r="G16" t="s">
        <v>208</v>
      </c>
      <c r="H16">
        <v>780160</v>
      </c>
      <c r="I16">
        <v>32.366669999999999</v>
      </c>
      <c r="J16">
        <v>-64.683329999999998</v>
      </c>
      <c r="K16" t="s">
        <v>193</v>
      </c>
      <c r="L16">
        <v>3.06</v>
      </c>
    </row>
    <row r="17" spans="1:12" x14ac:dyDescent="0.3">
      <c r="A17" s="5" t="s">
        <v>47</v>
      </c>
      <c r="B17" t="s">
        <v>226</v>
      </c>
      <c r="C17" t="s">
        <v>49</v>
      </c>
      <c r="D17" t="s">
        <v>217</v>
      </c>
      <c r="E17">
        <v>78.907249958650297</v>
      </c>
      <c r="F17">
        <v>11.88666693015877</v>
      </c>
      <c r="G17" t="s">
        <v>208</v>
      </c>
      <c r="H17">
        <v>10070</v>
      </c>
      <c r="I17">
        <v>78.916666599999999</v>
      </c>
      <c r="J17">
        <v>11.933333299999999</v>
      </c>
      <c r="K17" t="s">
        <v>194</v>
      </c>
      <c r="L17">
        <v>1.44</v>
      </c>
    </row>
    <row r="18" spans="1:12" x14ac:dyDescent="0.3">
      <c r="A18" t="s">
        <v>50</v>
      </c>
      <c r="B18" t="s">
        <v>227</v>
      </c>
      <c r="C18" t="s">
        <v>52</v>
      </c>
      <c r="D18" t="s">
        <v>217</v>
      </c>
      <c r="E18">
        <v>63.399999997245999</v>
      </c>
      <c r="F18">
        <v>-20.282999998103911</v>
      </c>
      <c r="G18" t="s">
        <v>208</v>
      </c>
      <c r="H18">
        <v>40480</v>
      </c>
      <c r="I18">
        <v>63.424303000000002</v>
      </c>
      <c r="J18">
        <v>-20.278874999999999</v>
      </c>
      <c r="K18" t="s">
        <v>228</v>
      </c>
      <c r="L18">
        <v>2.71</v>
      </c>
    </row>
    <row r="19" spans="1:12" x14ac:dyDescent="0.3">
      <c r="A19" s="7" t="s">
        <v>229</v>
      </c>
      <c r="B19" s="6" t="s">
        <v>230</v>
      </c>
      <c r="C19" s="6" t="s">
        <v>112</v>
      </c>
      <c r="D19" s="6" t="s">
        <v>231</v>
      </c>
      <c r="E19" s="6">
        <v>61.34999637931557</v>
      </c>
      <c r="F19" s="6">
        <v>-135.63333665151151</v>
      </c>
      <c r="G19" s="6" t="s">
        <v>208</v>
      </c>
      <c r="H19" s="6">
        <v>717730</v>
      </c>
      <c r="I19" s="6">
        <v>60.716666600000003</v>
      </c>
      <c r="J19" s="6">
        <v>-135.08333329999999</v>
      </c>
      <c r="K19" s="6" t="s">
        <v>232</v>
      </c>
      <c r="L19" s="6">
        <v>76.5</v>
      </c>
    </row>
    <row r="20" spans="1:12" x14ac:dyDescent="0.3">
      <c r="A20" t="s">
        <v>53</v>
      </c>
      <c r="B20" t="s">
        <v>233</v>
      </c>
      <c r="C20" t="s">
        <v>55</v>
      </c>
      <c r="D20" t="s">
        <v>217</v>
      </c>
      <c r="E20">
        <v>67.999999999221728</v>
      </c>
      <c r="F20">
        <v>24.24000000161006</v>
      </c>
      <c r="G20" t="s">
        <v>208</v>
      </c>
      <c r="H20">
        <v>28200</v>
      </c>
      <c r="I20">
        <v>68.066666600000005</v>
      </c>
      <c r="J20">
        <v>24.033333299999999</v>
      </c>
      <c r="K20" t="s">
        <v>234</v>
      </c>
      <c r="L20">
        <v>11.4</v>
      </c>
    </row>
    <row r="21" spans="1:12" x14ac:dyDescent="0.3">
      <c r="A21" s="5" t="s">
        <v>56</v>
      </c>
      <c r="B21" t="s">
        <v>235</v>
      </c>
      <c r="C21" t="s">
        <v>58</v>
      </c>
      <c r="D21" t="s">
        <v>236</v>
      </c>
      <c r="E21">
        <v>19.535913999999998</v>
      </c>
      <c r="F21">
        <v>-155.57669999999999</v>
      </c>
      <c r="G21" t="s">
        <v>208</v>
      </c>
      <c r="H21">
        <v>911977</v>
      </c>
      <c r="I21">
        <v>19.760000000000002</v>
      </c>
      <c r="J21">
        <v>-155.55360999999999</v>
      </c>
      <c r="K21" t="s">
        <v>237</v>
      </c>
      <c r="L21">
        <v>24.92</v>
      </c>
    </row>
    <row r="22" spans="1:12" x14ac:dyDescent="0.3">
      <c r="A22" s="5" t="s">
        <v>59</v>
      </c>
      <c r="B22" t="s">
        <v>238</v>
      </c>
      <c r="C22" t="s">
        <v>61</v>
      </c>
      <c r="D22" t="s">
        <v>236</v>
      </c>
      <c r="E22">
        <v>-42.908888999137588</v>
      </c>
      <c r="F22">
        <v>171.57472199954989</v>
      </c>
      <c r="G22" t="s">
        <v>208</v>
      </c>
      <c r="H22">
        <v>936140</v>
      </c>
      <c r="I22">
        <v>-42.716666600000003</v>
      </c>
      <c r="J22">
        <v>170.9833333</v>
      </c>
      <c r="K22" t="s">
        <v>239</v>
      </c>
      <c r="L22">
        <v>52.75</v>
      </c>
    </row>
    <row r="23" spans="1:12" x14ac:dyDescent="0.3">
      <c r="A23" s="4" t="s">
        <v>62</v>
      </c>
      <c r="B23" t="s">
        <v>240</v>
      </c>
      <c r="C23" t="s">
        <v>64</v>
      </c>
      <c r="D23" t="s">
        <v>217</v>
      </c>
      <c r="E23">
        <v>37.053333002102583</v>
      </c>
      <c r="F23">
        <v>-6.5541670004420061</v>
      </c>
      <c r="G23" t="s">
        <v>208</v>
      </c>
      <c r="H23">
        <v>83830</v>
      </c>
      <c r="I23">
        <v>37.283333300000002</v>
      </c>
      <c r="J23">
        <v>-6.9166666000000001</v>
      </c>
      <c r="K23" t="s">
        <v>241</v>
      </c>
      <c r="L23">
        <v>41</v>
      </c>
    </row>
    <row r="24" spans="1:12" x14ac:dyDescent="0.3">
      <c r="A24" t="s">
        <v>65</v>
      </c>
      <c r="B24" t="s">
        <v>66</v>
      </c>
      <c r="C24" t="s">
        <v>64</v>
      </c>
      <c r="D24" t="s">
        <v>217</v>
      </c>
      <c r="E24">
        <v>28.3089834713785</v>
      </c>
      <c r="F24">
        <v>-16.499384230531088</v>
      </c>
      <c r="G24" t="s">
        <v>208</v>
      </c>
      <c r="H24">
        <v>600100</v>
      </c>
      <c r="I24">
        <v>28.316666600000001</v>
      </c>
      <c r="J24">
        <v>-16.5</v>
      </c>
      <c r="K24" t="s">
        <v>242</v>
      </c>
      <c r="L24">
        <v>0.85</v>
      </c>
    </row>
    <row r="25" spans="1:12" x14ac:dyDescent="0.3">
      <c r="A25" s="8" t="s">
        <v>10</v>
      </c>
      <c r="B25" s="8" t="s">
        <v>11</v>
      </c>
      <c r="C25" s="8" t="s">
        <v>12</v>
      </c>
      <c r="D25" s="8"/>
      <c r="E25" s="8">
        <v>6.05</v>
      </c>
      <c r="F25" s="8">
        <v>3.3833329999999999</v>
      </c>
      <c r="G25" s="8" t="s">
        <v>208</v>
      </c>
      <c r="H25" s="8"/>
      <c r="I25" s="8"/>
      <c r="J25" s="8"/>
      <c r="K25" s="8"/>
      <c r="L25" s="8"/>
    </row>
    <row r="26" spans="1:12" x14ac:dyDescent="0.3">
      <c r="A26" s="4" t="s">
        <v>79</v>
      </c>
      <c r="B26" t="s">
        <v>80</v>
      </c>
      <c r="C26" t="s">
        <v>58</v>
      </c>
      <c r="D26" t="s">
        <v>231</v>
      </c>
      <c r="E26">
        <v>47.531100000000002</v>
      </c>
      <c r="F26">
        <v>-93.468599999999995</v>
      </c>
      <c r="G26" s="9" t="s">
        <v>243</v>
      </c>
      <c r="H26">
        <v>727458</v>
      </c>
      <c r="I26">
        <v>47.211109999999998</v>
      </c>
      <c r="J26">
        <v>-93.509720000000002</v>
      </c>
      <c r="K26" t="s">
        <v>191</v>
      </c>
      <c r="L26">
        <v>35.54</v>
      </c>
    </row>
    <row r="27" spans="1:12" x14ac:dyDescent="0.3">
      <c r="A27" t="s">
        <v>84</v>
      </c>
      <c r="B27" t="s">
        <v>85</v>
      </c>
      <c r="C27" t="s">
        <v>58</v>
      </c>
      <c r="D27" t="s">
        <v>231</v>
      </c>
      <c r="E27">
        <v>39.027999999999999</v>
      </c>
      <c r="F27">
        <v>-76.817099999999996</v>
      </c>
      <c r="G27" s="9" t="s">
        <v>243</v>
      </c>
      <c r="H27">
        <v>722244</v>
      </c>
      <c r="I27">
        <v>38.981000000000002</v>
      </c>
      <c r="J27">
        <v>-76.921999999999997</v>
      </c>
      <c r="K27" t="s">
        <v>190</v>
      </c>
      <c r="L27">
        <v>10.47</v>
      </c>
    </row>
    <row r="28" spans="1:12" x14ac:dyDescent="0.3">
      <c r="A28" s="5" t="s">
        <v>86</v>
      </c>
      <c r="B28" t="s">
        <v>87</v>
      </c>
      <c r="C28" t="s">
        <v>58</v>
      </c>
      <c r="D28" t="s">
        <v>231</v>
      </c>
      <c r="E28">
        <v>36.566099999999999</v>
      </c>
      <c r="F28">
        <v>-118.77800000000001</v>
      </c>
      <c r="G28" s="9" t="s">
        <v>243</v>
      </c>
      <c r="H28">
        <v>72389</v>
      </c>
      <c r="I28">
        <v>36.78</v>
      </c>
      <c r="J28">
        <v>-119.71939999999999</v>
      </c>
      <c r="K28" t="s">
        <v>183</v>
      </c>
      <c r="L28">
        <v>85.86</v>
      </c>
    </row>
    <row r="29" spans="1:12" x14ac:dyDescent="0.3">
      <c r="A29" s="4" t="s">
        <v>88</v>
      </c>
      <c r="B29" t="s">
        <v>89</v>
      </c>
      <c r="C29" t="s">
        <v>58</v>
      </c>
      <c r="D29" t="s">
        <v>231</v>
      </c>
      <c r="E29">
        <v>36.971600000000002</v>
      </c>
      <c r="F29">
        <v>-90.143299999999996</v>
      </c>
      <c r="G29" s="9" t="s">
        <v>243</v>
      </c>
      <c r="H29">
        <v>723300</v>
      </c>
      <c r="I29">
        <v>36.772500000000001</v>
      </c>
      <c r="J29">
        <v>-90.324719999999999</v>
      </c>
      <c r="K29" t="s">
        <v>192</v>
      </c>
      <c r="L29">
        <v>27.38</v>
      </c>
    </row>
    <row r="30" spans="1:12" x14ac:dyDescent="0.3">
      <c r="A30" t="s">
        <v>90</v>
      </c>
      <c r="B30" t="s">
        <v>91</v>
      </c>
      <c r="C30" t="s">
        <v>58</v>
      </c>
      <c r="D30" t="s">
        <v>231</v>
      </c>
      <c r="E30">
        <v>68.625699999999995</v>
      </c>
      <c r="F30">
        <v>-149.6069</v>
      </c>
      <c r="G30" s="9" t="s">
        <v>243</v>
      </c>
      <c r="H30">
        <v>996409</v>
      </c>
      <c r="I30">
        <v>68.648300000000006</v>
      </c>
      <c r="J30">
        <v>-149.39859999999999</v>
      </c>
      <c r="K30" t="s">
        <v>175</v>
      </c>
      <c r="L30">
        <v>8.68</v>
      </c>
    </row>
    <row r="31" spans="1:12" x14ac:dyDescent="0.3">
      <c r="A31" t="s">
        <v>104</v>
      </c>
      <c r="B31" t="s">
        <v>105</v>
      </c>
      <c r="C31" t="s">
        <v>58</v>
      </c>
      <c r="G31" s="10" t="s">
        <v>244</v>
      </c>
      <c r="H31">
        <v>747917</v>
      </c>
      <c r="I31">
        <v>32.9</v>
      </c>
      <c r="J31">
        <v>-79.783000000000001</v>
      </c>
      <c r="K31" t="s">
        <v>185</v>
      </c>
      <c r="L31" t="s">
        <v>245</v>
      </c>
    </row>
    <row r="32" spans="1:12" x14ac:dyDescent="0.3">
      <c r="A32" t="s">
        <v>67</v>
      </c>
      <c r="B32" t="s">
        <v>68</v>
      </c>
      <c r="C32" t="s">
        <v>69</v>
      </c>
      <c r="E32">
        <v>28.309000000000001</v>
      </c>
      <c r="F32">
        <v>16.498999999999999</v>
      </c>
      <c r="G32" s="11" t="s">
        <v>246</v>
      </c>
    </row>
    <row r="33" spans="1:12" x14ac:dyDescent="0.3">
      <c r="A33" t="s">
        <v>70</v>
      </c>
      <c r="B33" t="s">
        <v>71</v>
      </c>
      <c r="C33" t="s">
        <v>72</v>
      </c>
      <c r="E33">
        <v>14.046200000000001</v>
      </c>
      <c r="F33">
        <v>100.71429999999999</v>
      </c>
      <c r="G33" s="11" t="s">
        <v>246</v>
      </c>
      <c r="H33">
        <v>484190</v>
      </c>
      <c r="I33">
        <v>14.1</v>
      </c>
      <c r="J33">
        <v>100.6166666</v>
      </c>
      <c r="K33" t="s">
        <v>176</v>
      </c>
      <c r="L33">
        <v>12</v>
      </c>
    </row>
    <row r="34" spans="1:12" x14ac:dyDescent="0.3">
      <c r="A34" t="s">
        <v>73</v>
      </c>
      <c r="B34" t="s">
        <v>19</v>
      </c>
      <c r="C34" t="s">
        <v>20</v>
      </c>
      <c r="G34" s="11" t="s">
        <v>246</v>
      </c>
      <c r="H34">
        <v>434440</v>
      </c>
      <c r="I34">
        <v>7.3333332999999996</v>
      </c>
      <c r="J34">
        <v>80.633333300000004</v>
      </c>
      <c r="K34" t="s">
        <v>181</v>
      </c>
      <c r="L34">
        <v>10</v>
      </c>
    </row>
    <row r="35" spans="1:12" x14ac:dyDescent="0.3">
      <c r="A35" s="5" t="s">
        <v>74</v>
      </c>
      <c r="B35" t="s">
        <v>75</v>
      </c>
      <c r="C35" t="s">
        <v>76</v>
      </c>
      <c r="G35" s="11" t="s">
        <v>246</v>
      </c>
      <c r="H35">
        <v>591580</v>
      </c>
      <c r="I35">
        <v>24.15</v>
      </c>
      <c r="J35">
        <v>120.6833333</v>
      </c>
      <c r="K35" t="s">
        <v>247</v>
      </c>
      <c r="L35">
        <v>78</v>
      </c>
    </row>
  </sheetData>
  <pageMargins left="0.7" right="0.7" top="0.75" bottom="0.75" header="0.3" footer="0.3"/>
  <pageSetup orientation="portrait" verticalDpi="0" r:id="rId1"/>
  <customProperties>
    <customPr name="EpmWorksheetKeyString_GUID" r:id="rId2"/>
  </customProperties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570B6F7A35F44BD73918FB761BD89" ma:contentTypeVersion="14" ma:contentTypeDescription="Create a new document." ma:contentTypeScope="" ma:versionID="762f43529a1658bbf186809cbfd940e8">
  <xsd:schema xmlns:xsd="http://www.w3.org/2001/XMLSchema" xmlns:xs="http://www.w3.org/2001/XMLSchema" xmlns:p="http://schemas.microsoft.com/office/2006/metadata/properties" xmlns:ns3="377cf1b0-4eed-47eb-b119-9ed6609fad78" xmlns:ns4="7f518b76-47ae-4d54-a773-0f74bda163de" targetNamespace="http://schemas.microsoft.com/office/2006/metadata/properties" ma:root="true" ma:fieldsID="66d0c13f7ea22d0cf57042f20e15caaf" ns3:_="" ns4:_="">
    <xsd:import namespace="377cf1b0-4eed-47eb-b119-9ed6609fad78"/>
    <xsd:import namespace="7f518b76-47ae-4d54-a773-0f74bda163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cf1b0-4eed-47eb-b119-9ed6609fad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18b76-47ae-4d54-a773-0f74bda163d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15135F-051D-42B5-8D6F-CBB4861AB1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C2C085-428D-4DC5-8280-6512045A3563}">
  <ds:schemaRefs>
    <ds:schemaRef ds:uri="http://purl.org/dc/terms/"/>
    <ds:schemaRef ds:uri="377cf1b0-4eed-47eb-b119-9ed6609fad78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7f518b76-47ae-4d54-a773-0f74bda163d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707031-C93D-4CC5-BDD2-5AFE095A03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7cf1b0-4eed-47eb-b119-9ed6609fad78"/>
    <ds:schemaRef ds:uri="7f518b76-47ae-4d54-a773-0f74bda163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Environment Climate Change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MacSween,Katrina (ECCC)</dc:creator>
  <cp:lastModifiedBy>Firanski,Bernard (il | he, him) (ECCC)</cp:lastModifiedBy>
  <dcterms:created xsi:type="dcterms:W3CDTF">2022-06-06T19:31:33Z</dcterms:created>
  <dcterms:modified xsi:type="dcterms:W3CDTF">2025-12-05T16:01:53Z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0x010100991570B6F7A35F44BD73918FB761BD89</vt:lpwstr>
  </property>
</Properties>
</file>